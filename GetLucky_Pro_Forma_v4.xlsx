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uild (Monthly)" sheetId="3" state="visible" r:id="rId3"/>
    <sheet name="Annual" sheetId="4" state="visible" r:id="rId4"/>
    <sheet name="Insurance" sheetId="5" state="visible" r:id="rId5"/>
    <sheet name="Valu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3"/>
    </font>
    <font>
      <color rgb="001F4E9C"/>
    </font>
    <font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3452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2"/>
  <sheetViews>
    <sheetView workbookViewId="0">
      <selection activeCell="A1" sqref="A1"/>
    </sheetView>
  </sheetViews>
  <sheetFormatPr baseColWidth="8" defaultRowHeight="15"/>
  <cols>
    <col width="112" customWidth="1" min="2" max="2"/>
  </cols>
  <sheetData>
    <row r="2">
      <c r="B2" s="1" t="inlineStr">
        <is>
          <t>GET LUCKY GOLF CLUB — PRO FORMA (PIVOT MODEL)</t>
        </is>
      </c>
    </row>
    <row r="3">
      <c r="B3" t="inlineStr">
        <is>
          <t>The core product is the fourball's money game — 'a golf day in your pocket'. The Slip: skins, nassau,</t>
        </is>
      </c>
    </row>
    <row r="4">
      <c r="B4" t="inlineStr">
        <is>
          <t>dots and team games between mates, a live ledger, netted settlement at the 18th.</t>
        </is>
      </c>
    </row>
    <row r="5"/>
    <row r="6">
      <c r="B6" s="2" t="inlineStr">
        <is>
          <t>THE STRUCTURE, AND WHY</t>
        </is>
      </c>
    </row>
    <row r="7">
      <c r="B7" t="inlineStr">
        <is>
          <t>1. PEER GAMES — free forever. No rake, no per-game fee, no custody. Get Lucky keeps score and never</t>
        </is>
      </c>
    </row>
    <row r="8">
      <c r="B8" t="inlineStr">
        <is>
          <t xml:space="preserve">   touches the pot. This is a legal necessity (the SA informal-bet exemption dies if any third party</t>
        </is>
      </c>
    </row>
    <row r="9">
      <c r="B9" t="inlineStr">
        <is>
          <t xml:space="preserve">   takes a fee; the on-point US precedent was shut down at a 1% commission) and the proven category</t>
        </is>
      </c>
    </row>
    <row r="10">
      <c r="B10" t="inlineStr">
        <is>
          <t xml:space="preserve">   structure (Skins App, the leader, charges $40/yr flat and rakes nothing).</t>
        </is>
      </c>
    </row>
    <row r="11">
      <c r="B11" t="inlineStr">
        <is>
          <t>2. SUBSCRIPTION — $10/month for ACCESS TO THE APP. Organizer-pays: creating games needs a subscription;</t>
        </is>
      </c>
    </row>
    <row r="12">
      <c r="B12" t="inlineStr">
        <is>
          <t xml:space="preserve">   invited players ride free for the round. Includes NO swings; carries NO prize risk.</t>
        </is>
      </c>
    </row>
    <row r="13">
      <c r="B13" t="inlineStr">
        <is>
          <t>3. INSURED JACKPOT — group-pooled entries on the slip, tiers $1-&gt;$500 to $100-&gt;$100,000, filmed and</t>
        </is>
      </c>
    </row>
    <row r="14">
      <c r="B14" t="inlineStr">
        <is>
          <t xml:space="preserve">   verified, prize paid by the insurer. 24% of every entry ceded as premium on the same swing.</t>
        </is>
      </c>
    </row>
    <row r="15">
      <c r="B15" t="inlineStr">
        <is>
          <t>4. PEER GMV — money staked between players. Reported as the engagement KPI. REVENUE: ZERO, PERMANENTLY.</t>
        </is>
      </c>
    </row>
    <row r="16"/>
    <row r="17">
      <c r="B17" t="inlineStr">
        <is>
          <t>HEADLINE — milestone year is DECEMBER 2029 (build runs 72 months from Jan 2027, subscribers from ZERO)</t>
        </is>
      </c>
    </row>
    <row r="18">
      <c r="B18" t="inlineStr">
        <is>
          <t>Pitch milestones: R53.3m (this round) -&gt; R133.1m (Dec 2029) -&gt; R291.6m (2032), flat 3.0x revenue.</t>
        </is>
      </c>
    </row>
    <row r="19"/>
    <row r="20">
      <c r="B20" s="2" t="inlineStr">
        <is>
          <t>WHAT IS HISTORY AND WHAT IS FORECAST</t>
        </is>
      </c>
    </row>
    <row r="21">
      <c r="B21" t="inlineStr">
        <is>
          <t>Trailing 12 months to Jul 2026 — ACTUAL: 10,000 paid entries, 800 course activations, 60,000 members</t>
        </is>
      </c>
    </row>
    <row r="22">
      <c r="B22" t="inlineStr">
        <is>
          <t>reached, R4.0m of revenue, R9m Santam sponsorship contracted. Proof golfers engage. EVERYTHING FROM</t>
        </is>
      </c>
    </row>
    <row r="23">
      <c r="B23" s="2" t="inlineStr">
        <is>
          <t>2027 ONWARD IS FORECAST.</t>
        </is>
      </c>
    </row>
    <row r="24"/>
    <row r="25">
      <c r="B25" t="inlineStr">
        <is>
          <t>THE DECISIVE ASSUMPTION: jackpot attach on a group slip (35% base; 20% sceptic / 55% bull). A 90-day</t>
        </is>
      </c>
    </row>
    <row r="26">
      <c r="B26" t="inlineStr">
        <is>
          <t>manual pilot across the 25 installed courses measures it before the app ships.</t>
        </is>
      </c>
    </row>
    <row r="27"/>
    <row r="28">
      <c r="B28" t="inlineStr">
        <is>
          <t>COLOURS   BLUE = input you can change. BLACK = calculated.</t>
        </is>
      </c>
    </row>
    <row r="29"/>
    <row r="30">
      <c r="B30" t="inlineStr">
        <is>
          <t>NOT YET IN PLACE: the P2P legal opinion, Santam's written sign-off on the peer-game wrapper, and</t>
        </is>
      </c>
    </row>
    <row r="31">
      <c r="B31" t="inlineStr">
        <is>
          <t>simulator operator agreements. All are named gating milestones. No approach made to operators as at</t>
        </is>
      </c>
    </row>
    <row r="32">
      <c r="B32" t="inlineStr">
        <is>
          <t>Aug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48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64" customWidth="1" min="4" max="4"/>
  </cols>
  <sheetData>
    <row r="2">
      <c r="B2" s="1" t="inlineStr">
        <is>
          <t>ASSUMPTIONS</t>
        </is>
      </c>
    </row>
    <row r="3">
      <c r="B3" t="inlineStr">
        <is>
          <t>Blue = change me. Black = calculated.</t>
        </is>
      </c>
    </row>
    <row r="5">
      <c r="B5" s="2" t="inlineStr">
        <is>
          <t>DEAL</t>
        </is>
      </c>
    </row>
    <row r="6">
      <c r="B6" t="inlineStr">
        <is>
          <t>ZAR per USD</t>
        </is>
      </c>
      <c r="C6" s="3" t="n">
        <v>18.5</v>
      </c>
      <c r="D6" s="4" t="inlineStr">
        <is>
          <t>FX assumption</t>
        </is>
      </c>
    </row>
    <row r="7">
      <c r="B7" t="inlineStr">
        <is>
          <t>Raise (ZAR)</t>
        </is>
      </c>
      <c r="C7" s="3" t="n">
        <v>8000000</v>
      </c>
    </row>
    <row r="8">
      <c r="B8" t="inlineStr">
        <is>
          <t>Equity offered</t>
        </is>
      </c>
      <c r="C8" s="3" t="n">
        <v>0.15</v>
      </c>
      <c r="D8" s="4" t="inlineStr">
        <is>
          <t>15% — the founder's term. Ernie Els participates in this round.</t>
        </is>
      </c>
    </row>
    <row r="9">
      <c r="B9" t="inlineStr">
        <is>
          <t>Post-money (ZAR)</t>
        </is>
      </c>
      <c r="C9">
        <f>C7/C8</f>
        <v/>
      </c>
      <c r="D9" s="4" t="inlineStr">
        <is>
          <t>R53.3m; pre R45.3m</t>
        </is>
      </c>
    </row>
    <row r="11">
      <c r="B11" s="2" t="inlineStr">
        <is>
          <t>SUBSCRIBERS (ORGANIZERS)</t>
        </is>
      </c>
    </row>
    <row r="12">
      <c r="B12" t="inlineStr">
        <is>
          <t>Conversion target at launch</t>
        </is>
      </c>
      <c r="C12" s="3" t="n">
        <v>2000</v>
      </c>
      <c r="D12" s="4" t="inlineStr">
        <is>
          <t>Converted from the 60,000 members reached — ramped over 6 months from ZERO</t>
        </is>
      </c>
    </row>
    <row r="13">
      <c r="B13" t="inlineStr">
        <is>
          <t>Conversion ramp (months)</t>
        </is>
      </c>
      <c r="C13" s="3" t="n">
        <v>6</v>
      </c>
    </row>
    <row r="14">
      <c r="B14" t="inlineStr">
        <is>
          <t>Gross monthly growth — Year 1</t>
        </is>
      </c>
      <c r="C14" s="3" t="n">
        <v>0.12</v>
      </c>
      <c r="D14" s="4" t="inlineStr">
        <is>
          <t>Includes the invite loop: every slip seats three guests</t>
        </is>
      </c>
    </row>
    <row r="15">
      <c r="B15" t="inlineStr">
        <is>
          <t>Gross monthly growth — Year 2</t>
        </is>
      </c>
      <c r="C15" s="3" t="n">
        <v>0.095</v>
      </c>
    </row>
    <row r="16">
      <c r="B16" t="inlineStr">
        <is>
          <t>Gross monthly growth — Year 3</t>
        </is>
      </c>
      <c r="C16" s="3" t="n">
        <v>0.08</v>
      </c>
    </row>
    <row r="17">
      <c r="B17" t="inlineStr">
        <is>
          <t>Gross monthly growth — Year 4+</t>
        </is>
      </c>
      <c r="C17" s="3" t="n">
        <v>0.073</v>
      </c>
      <c r="D17" s="4" t="inlineStr">
        <is>
          <t>Long-term net ~1.8% + churn</t>
        </is>
      </c>
    </row>
    <row r="18">
      <c r="B18" t="inlineStr">
        <is>
          <t>Monthly churn</t>
        </is>
      </c>
      <c r="C18" s="3" t="n">
        <v>0.055</v>
      </c>
      <c r="D18" s="4" t="inlineStr">
        <is>
          <t>WORSE than the old 4% on purpose — defended by group lock-in</t>
        </is>
      </c>
    </row>
    <row r="19">
      <c r="B19" t="inlineStr">
        <is>
          <t>Subscription (USD / month)</t>
        </is>
      </c>
      <c r="C19" s="3" t="n">
        <v>10</v>
      </c>
      <c r="D19" s="4" t="inlineStr">
        <is>
          <t>For ACCESS TO THE APP. No swings included. No prize risk.</t>
        </is>
      </c>
    </row>
    <row r="21">
      <c r="B21" s="2" t="inlineStr">
        <is>
          <t>THE GAME LAYER</t>
        </is>
      </c>
    </row>
    <row r="22">
      <c r="B22" t="inlineStr">
        <is>
          <t>Active players per subscriber</t>
        </is>
      </c>
      <c r="C22" s="3" t="n">
        <v>2.8</v>
      </c>
      <c r="D22" s="4" t="inlineStr">
        <is>
          <t>The fourball multiplier (2.2 sceptic / 3.4 bull)</t>
        </is>
      </c>
    </row>
    <row r="23">
      <c r="B23" t="inlineStr">
        <is>
          <t>Money rounds per active per month</t>
        </is>
      </c>
      <c r="C23" s="3" t="n">
        <v>1</v>
      </c>
    </row>
    <row r="24">
      <c r="B24" t="inlineStr">
        <is>
          <t>Players per slip</t>
        </is>
      </c>
      <c r="C24" s="3" t="n">
        <v>4</v>
      </c>
    </row>
    <row r="25">
      <c r="B25" t="inlineStr">
        <is>
          <t>Average peer pot per slip (USD)</t>
        </is>
      </c>
      <c r="C25" s="3" t="n">
        <v>40</v>
      </c>
      <c r="D25" s="4" t="inlineStr">
        <is>
          <t>KPI ONLY — Get Lucky's share of peer money is ZERO, permanently</t>
        </is>
      </c>
    </row>
    <row r="27">
      <c r="B27" s="2" t="inlineStr">
        <is>
          <t>THE INSURED JACKPOT</t>
        </is>
      </c>
    </row>
    <row r="28">
      <c r="B28" t="inlineStr">
        <is>
          <t>Jackpot attach (% of slips)</t>
        </is>
      </c>
      <c r="C28" s="3" t="n">
        <v>0.35</v>
      </c>
      <c r="D28" s="4" t="inlineStr">
        <is>
          <t>THE decisive assumption — measured by the 90-day pilot</t>
        </is>
      </c>
    </row>
    <row r="29">
      <c r="B29" t="inlineStr">
        <is>
          <t>Average ticket per player (USD)</t>
        </is>
      </c>
      <c r="C29" s="3" t="n">
        <v>10</v>
      </c>
      <c r="D29" s="4" t="inlineStr">
        <is>
          <t>Across the $1–$100 ladder</t>
        </is>
      </c>
    </row>
    <row r="30">
      <c r="B30" t="inlineStr">
        <is>
          <t>Get Lucky net share of entries</t>
        </is>
      </c>
      <c r="C30" s="3" t="n">
        <v>0.66</v>
      </c>
      <c r="D30" s="4" t="inlineStr">
        <is>
          <t>After 24% premium and venue share</t>
        </is>
      </c>
    </row>
    <row r="31">
      <c r="B31" t="inlineStr">
        <is>
          <t>Insurance premium (% of entry)</t>
        </is>
      </c>
      <c r="C31" s="3" t="n">
        <v>0.24</v>
      </c>
      <c r="D31" s="4" t="inlineStr">
        <is>
          <t>Ceded on the same swing that creates the risk</t>
        </is>
      </c>
    </row>
    <row r="32">
      <c r="B32" t="inlineStr">
        <is>
          <t>Submission loss ratio</t>
        </is>
      </c>
      <c r="C32" s="3" t="n">
        <v>0.319</v>
      </c>
      <c r="D32" s="4" t="inlineStr">
        <is>
          <t>Santam submission: $17 wavg entry, $4.08 premium, $1.30 claim, 2.51x breakeven</t>
        </is>
      </c>
    </row>
    <row r="34">
      <c r="B34" s="2" t="inlineStr">
        <is>
          <t>INSTALLED COURSES</t>
        </is>
      </c>
    </row>
    <row r="35">
      <c r="B35" t="inlineStr">
        <is>
          <t>Courses installed today</t>
        </is>
      </c>
      <c r="C35" s="3" t="n">
        <v>25</v>
      </c>
      <c r="D35" s="4" t="inlineStr">
        <is>
          <t>The 25 flagship jackpot holes</t>
        </is>
      </c>
    </row>
    <row r="36">
      <c r="B36" t="inlineStr">
        <is>
          <t>Courses added per year</t>
        </is>
      </c>
      <c r="C36" s="3" t="n">
        <v>25</v>
      </c>
    </row>
    <row r="37">
      <c r="B37" t="inlineStr">
        <is>
          <t>Entries per course per year</t>
        </is>
      </c>
      <c r="C37" s="3" t="n">
        <v>400</v>
      </c>
    </row>
    <row r="38">
      <c r="B38" t="inlineStr">
        <is>
          <t>Average entry (ZAR)</t>
        </is>
      </c>
      <c r="C38" s="3" t="n">
        <v>150</v>
      </c>
      <c r="D38" s="4" t="inlineStr">
        <is>
          <t>Realised across 10,000 trailing entries</t>
        </is>
      </c>
    </row>
    <row r="39">
      <c r="B39" t="inlineStr">
        <is>
          <t>Get Lucky share</t>
        </is>
      </c>
      <c r="C39" s="3" t="n">
        <v>0.66</v>
      </c>
    </row>
    <row r="41">
      <c r="B41" s="2" t="inlineStr">
        <is>
          <t>COSTS</t>
        </is>
      </c>
    </row>
    <row r="42">
      <c r="B42" t="inlineStr">
        <is>
          <t>Payment processing (% of gross collections)</t>
        </is>
      </c>
      <c r="C42" s="3" t="n">
        <v>0.03</v>
      </c>
    </row>
    <row r="43">
      <c r="B43" t="inlineStr">
        <is>
          <t>Verification (USD per INSURED swing)</t>
        </is>
      </c>
      <c r="C43" s="3" t="n">
        <v>0.5</v>
      </c>
      <c r="D43" s="4" t="inlineStr">
        <is>
          <t>Peer games verify themselves — zero verification cost</t>
        </is>
      </c>
    </row>
    <row r="44">
      <c r="B44" t="inlineStr">
        <is>
          <t>CAC (USD per gross new ORGANIZER)</t>
        </is>
      </c>
      <c r="C44" s="3" t="n">
        <v>12</v>
      </c>
      <c r="D44" s="4" t="inlineStr">
        <is>
          <t>Invited seats are free acquisition</t>
        </is>
      </c>
    </row>
    <row r="45">
      <c r="B45" t="inlineStr">
        <is>
          <t>Brand &amp; retention (% of revenue)</t>
        </is>
      </c>
      <c r="C45" s="3" t="n">
        <v>0.12</v>
      </c>
      <c r="D45" s="4" t="inlineStr">
        <is>
          <t>A global consumer app spends real money on brand</t>
        </is>
      </c>
    </row>
    <row r="47">
      <c r="B47" s="2" t="inlineStr">
        <is>
          <t>VALUATION</t>
        </is>
      </c>
    </row>
    <row r="48">
      <c r="B48" t="inlineStr">
        <is>
          <t>Revenue multiple — every forward milestone</t>
        </is>
      </c>
      <c r="C48" s="3" t="n">
        <v>3</v>
      </c>
      <c r="D48" s="4" t="inlineStr">
        <is>
          <t>Flat. The round implies 3.77x on 2027, so it compresses.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V31"/>
  <sheetViews>
    <sheetView workbookViewId="0">
      <selection activeCell="A1" sqref="A1"/>
    </sheetView>
  </sheetViews>
  <sheetFormatPr baseColWidth="8" defaultRowHeight="15"/>
  <cols>
    <col width="46" customWidth="1" min="2" max="2"/>
  </cols>
  <sheetData>
    <row r="2">
      <c r="B2" s="1" t="inlineStr">
        <is>
          <t>72-MONTH BUILD — Jan 2027 to Dec 2032</t>
        </is>
      </c>
    </row>
    <row r="3">
      <c r="B3" t="inlineStr">
        <is>
          <t>Subscribers from ZERO. Milestone is month 36 (Dec 2029).</t>
        </is>
      </c>
    </row>
    <row r="5">
      <c r="B5" t="inlineStr">
        <is>
          <t>Month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H5" t="n">
        <v>6</v>
      </c>
      <c r="I5" t="n">
        <v>7</v>
      </c>
      <c r="J5" t="n">
        <v>8</v>
      </c>
      <c r="K5" t="n">
        <v>9</v>
      </c>
      <c r="L5" t="n">
        <v>10</v>
      </c>
      <c r="M5" t="n">
        <v>11</v>
      </c>
      <c r="N5" t="n">
        <v>12</v>
      </c>
      <c r="O5" t="n">
        <v>13</v>
      </c>
      <c r="P5" t="n">
        <v>14</v>
      </c>
      <c r="Q5" t="n">
        <v>15</v>
      </c>
      <c r="R5" t="n">
        <v>16</v>
      </c>
      <c r="S5" t="n">
        <v>17</v>
      </c>
      <c r="T5" t="n">
        <v>18</v>
      </c>
      <c r="U5" t="n">
        <v>19</v>
      </c>
      <c r="V5" t="n">
        <v>20</v>
      </c>
      <c r="W5" t="n">
        <v>21</v>
      </c>
      <c r="X5" t="n">
        <v>22</v>
      </c>
      <c r="Y5" t="n">
        <v>23</v>
      </c>
      <c r="Z5" t="n">
        <v>24</v>
      </c>
      <c r="AA5" t="n">
        <v>25</v>
      </c>
      <c r="AB5" t="n">
        <v>26</v>
      </c>
      <c r="AC5" t="n">
        <v>27</v>
      </c>
      <c r="AD5" t="n">
        <v>28</v>
      </c>
      <c r="AE5" t="n">
        <v>29</v>
      </c>
      <c r="AF5" t="n">
        <v>30</v>
      </c>
      <c r="AG5" t="n">
        <v>31</v>
      </c>
      <c r="AH5" t="n">
        <v>32</v>
      </c>
      <c r="AI5" t="n">
        <v>33</v>
      </c>
      <c r="AJ5" t="n">
        <v>34</v>
      </c>
      <c r="AK5" t="n">
        <v>35</v>
      </c>
      <c r="AL5" t="n">
        <v>36</v>
      </c>
      <c r="AM5" t="n">
        <v>37</v>
      </c>
      <c r="AN5" t="n">
        <v>38</v>
      </c>
      <c r="AO5" t="n">
        <v>39</v>
      </c>
      <c r="AP5" t="n">
        <v>40</v>
      </c>
      <c r="AQ5" t="n">
        <v>41</v>
      </c>
      <c r="AR5" t="n">
        <v>42</v>
      </c>
      <c r="AS5" t="n">
        <v>43</v>
      </c>
      <c r="AT5" t="n">
        <v>44</v>
      </c>
      <c r="AU5" t="n">
        <v>45</v>
      </c>
      <c r="AV5" t="n">
        <v>46</v>
      </c>
      <c r="AW5" t="n">
        <v>47</v>
      </c>
      <c r="AX5" t="n">
        <v>48</v>
      </c>
      <c r="AY5" t="n">
        <v>49</v>
      </c>
      <c r="AZ5" t="n">
        <v>50</v>
      </c>
      <c r="BA5" t="n">
        <v>51</v>
      </c>
      <c r="BB5" t="n">
        <v>52</v>
      </c>
      <c r="BC5" t="n">
        <v>53</v>
      </c>
      <c r="BD5" t="n">
        <v>54</v>
      </c>
      <c r="BE5" t="n">
        <v>55</v>
      </c>
      <c r="BF5" t="n">
        <v>56</v>
      </c>
      <c r="BG5" t="n">
        <v>57</v>
      </c>
      <c r="BH5" t="n">
        <v>58</v>
      </c>
      <c r="BI5" t="n">
        <v>59</v>
      </c>
      <c r="BJ5" t="n">
        <v>60</v>
      </c>
      <c r="BK5" t="n">
        <v>61</v>
      </c>
      <c r="BL5" t="n">
        <v>62</v>
      </c>
      <c r="BM5" t="n">
        <v>63</v>
      </c>
      <c r="BN5" t="n">
        <v>64</v>
      </c>
      <c r="BO5" t="n">
        <v>65</v>
      </c>
      <c r="BP5" t="n">
        <v>66</v>
      </c>
      <c r="BQ5" t="n">
        <v>67</v>
      </c>
      <c r="BR5" t="n">
        <v>68</v>
      </c>
      <c r="BS5" t="n">
        <v>69</v>
      </c>
      <c r="BT5" t="n">
        <v>70</v>
      </c>
      <c r="BU5" t="n">
        <v>71</v>
      </c>
      <c r="BV5" t="n">
        <v>72</v>
      </c>
    </row>
    <row r="6">
      <c r="B6" t="inlineStr">
        <is>
          <t>Calendar year</t>
        </is>
      </c>
      <c r="C6" t="n">
        <v>2027</v>
      </c>
      <c r="D6" t="n">
        <v>2027</v>
      </c>
      <c r="E6" t="n">
        <v>2027</v>
      </c>
      <c r="F6" t="n">
        <v>2027</v>
      </c>
      <c r="G6" t="n">
        <v>2027</v>
      </c>
      <c r="H6" t="n">
        <v>2027</v>
      </c>
      <c r="I6" t="n">
        <v>2027</v>
      </c>
      <c r="J6" t="n">
        <v>2027</v>
      </c>
      <c r="K6" t="n">
        <v>2027</v>
      </c>
      <c r="L6" t="n">
        <v>2027</v>
      </c>
      <c r="M6" t="n">
        <v>2027</v>
      </c>
      <c r="N6" t="n">
        <v>2027</v>
      </c>
      <c r="O6" t="n">
        <v>2028</v>
      </c>
      <c r="P6" t="n">
        <v>2028</v>
      </c>
      <c r="Q6" t="n">
        <v>2028</v>
      </c>
      <c r="R6" t="n">
        <v>2028</v>
      </c>
      <c r="S6" t="n">
        <v>2028</v>
      </c>
      <c r="T6" t="n">
        <v>2028</v>
      </c>
      <c r="U6" t="n">
        <v>2028</v>
      </c>
      <c r="V6" t="n">
        <v>2028</v>
      </c>
      <c r="W6" t="n">
        <v>2028</v>
      </c>
      <c r="X6" t="n">
        <v>2028</v>
      </c>
      <c r="Y6" t="n">
        <v>2028</v>
      </c>
      <c r="Z6" t="n">
        <v>2028</v>
      </c>
      <c r="AA6" t="n">
        <v>2029</v>
      </c>
      <c r="AB6" t="n">
        <v>2029</v>
      </c>
      <c r="AC6" t="n">
        <v>2029</v>
      </c>
      <c r="AD6" t="n">
        <v>2029</v>
      </c>
      <c r="AE6" t="n">
        <v>2029</v>
      </c>
      <c r="AF6" t="n">
        <v>2029</v>
      </c>
      <c r="AG6" t="n">
        <v>2029</v>
      </c>
      <c r="AH6" t="n">
        <v>2029</v>
      </c>
      <c r="AI6" t="n">
        <v>2029</v>
      </c>
      <c r="AJ6" t="n">
        <v>2029</v>
      </c>
      <c r="AK6" t="n">
        <v>2029</v>
      </c>
      <c r="AL6" t="n">
        <v>2029</v>
      </c>
      <c r="AM6" t="n">
        <v>2030</v>
      </c>
      <c r="AN6" t="n">
        <v>2030</v>
      </c>
      <c r="AO6" t="n">
        <v>2030</v>
      </c>
      <c r="AP6" t="n">
        <v>2030</v>
      </c>
      <c r="AQ6" t="n">
        <v>2030</v>
      </c>
      <c r="AR6" t="n">
        <v>2030</v>
      </c>
      <c r="AS6" t="n">
        <v>2030</v>
      </c>
      <c r="AT6" t="n">
        <v>2030</v>
      </c>
      <c r="AU6" t="n">
        <v>2030</v>
      </c>
      <c r="AV6" t="n">
        <v>2030</v>
      </c>
      <c r="AW6" t="n">
        <v>2030</v>
      </c>
      <c r="AX6" t="n">
        <v>2030</v>
      </c>
      <c r="AY6" t="n">
        <v>2031</v>
      </c>
      <c r="AZ6" t="n">
        <v>2031</v>
      </c>
      <c r="BA6" t="n">
        <v>2031</v>
      </c>
      <c r="BB6" t="n">
        <v>2031</v>
      </c>
      <c r="BC6" t="n">
        <v>2031</v>
      </c>
      <c r="BD6" t="n">
        <v>2031</v>
      </c>
      <c r="BE6" t="n">
        <v>2031</v>
      </c>
      <c r="BF6" t="n">
        <v>2031</v>
      </c>
      <c r="BG6" t="n">
        <v>2031</v>
      </c>
      <c r="BH6" t="n">
        <v>2031</v>
      </c>
      <c r="BI6" t="n">
        <v>2031</v>
      </c>
      <c r="BJ6" t="n">
        <v>2031</v>
      </c>
      <c r="BK6" t="n">
        <v>2032</v>
      </c>
      <c r="BL6" t="n">
        <v>2032</v>
      </c>
      <c r="BM6" t="n">
        <v>2032</v>
      </c>
      <c r="BN6" t="n">
        <v>2032</v>
      </c>
      <c r="BO6" t="n">
        <v>2032</v>
      </c>
      <c r="BP6" t="n">
        <v>2032</v>
      </c>
      <c r="BQ6" t="n">
        <v>2032</v>
      </c>
      <c r="BR6" t="n">
        <v>2032</v>
      </c>
      <c r="BS6" t="n">
        <v>2032</v>
      </c>
      <c r="BT6" t="n">
        <v>2032</v>
      </c>
      <c r="BU6" t="n">
        <v>2032</v>
      </c>
      <c r="BV6" t="n">
        <v>2032</v>
      </c>
    </row>
    <row r="7">
      <c r="B7" t="inlineStr">
        <is>
          <t>Year index</t>
        </is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2</v>
      </c>
      <c r="X7" t="n">
        <v>2</v>
      </c>
      <c r="Y7" t="n">
        <v>2</v>
      </c>
      <c r="Z7" t="n">
        <v>2</v>
      </c>
      <c r="AA7" t="n">
        <v>3</v>
      </c>
      <c r="AB7" t="n">
        <v>3</v>
      </c>
      <c r="AC7" t="n">
        <v>3</v>
      </c>
      <c r="AD7" t="n">
        <v>3</v>
      </c>
      <c r="AE7" t="n">
        <v>3</v>
      </c>
      <c r="AF7" t="n">
        <v>3</v>
      </c>
      <c r="AG7" t="n">
        <v>3</v>
      </c>
      <c r="AH7" t="n">
        <v>3</v>
      </c>
      <c r="AI7" t="n">
        <v>3</v>
      </c>
      <c r="AJ7" t="n">
        <v>3</v>
      </c>
      <c r="AK7" t="n">
        <v>3</v>
      </c>
      <c r="AL7" t="n">
        <v>3</v>
      </c>
      <c r="AM7" t="n">
        <v>4</v>
      </c>
      <c r="AN7" t="n">
        <v>4</v>
      </c>
      <c r="AO7" t="n">
        <v>4</v>
      </c>
      <c r="AP7" t="n">
        <v>4</v>
      </c>
      <c r="AQ7" t="n">
        <v>4</v>
      </c>
      <c r="AR7" t="n">
        <v>4</v>
      </c>
      <c r="AS7" t="n">
        <v>4</v>
      </c>
      <c r="AT7" t="n">
        <v>4</v>
      </c>
      <c r="AU7" t="n">
        <v>4</v>
      </c>
      <c r="AV7" t="n">
        <v>4</v>
      </c>
      <c r="AW7" t="n">
        <v>4</v>
      </c>
      <c r="AX7" t="n">
        <v>4</v>
      </c>
      <c r="AY7" t="n">
        <v>5</v>
      </c>
      <c r="AZ7" t="n">
        <v>5</v>
      </c>
      <c r="BA7" t="n">
        <v>5</v>
      </c>
      <c r="BB7" t="n">
        <v>5</v>
      </c>
      <c r="BC7" t="n">
        <v>5</v>
      </c>
      <c r="BD7" t="n">
        <v>5</v>
      </c>
      <c r="BE7" t="n">
        <v>5</v>
      </c>
      <c r="BF7" t="n">
        <v>5</v>
      </c>
      <c r="BG7" t="n">
        <v>5</v>
      </c>
      <c r="BH7" t="n">
        <v>5</v>
      </c>
      <c r="BI7" t="n">
        <v>5</v>
      </c>
      <c r="BJ7" t="n">
        <v>5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6</v>
      </c>
      <c r="BR7" t="n">
        <v>6</v>
      </c>
      <c r="BS7" t="n">
        <v>6</v>
      </c>
      <c r="BT7" t="n">
        <v>6</v>
      </c>
      <c r="BU7" t="n">
        <v>6</v>
      </c>
      <c r="BV7" t="n">
        <v>6</v>
      </c>
    </row>
    <row r="8">
      <c r="B8" t="inlineStr">
        <is>
          <t>Gross growth rate</t>
        </is>
      </c>
      <c r="C8">
        <f>Assumptions!$C$14</f>
        <v/>
      </c>
      <c r="D8">
        <f>Assumptions!$C$14</f>
        <v/>
      </c>
      <c r="E8">
        <f>Assumptions!$C$14</f>
        <v/>
      </c>
      <c r="F8">
        <f>Assumptions!$C$14</f>
        <v/>
      </c>
      <c r="G8">
        <f>Assumptions!$C$14</f>
        <v/>
      </c>
      <c r="H8">
        <f>Assumptions!$C$14</f>
        <v/>
      </c>
      <c r="I8">
        <f>Assumptions!$C$14</f>
        <v/>
      </c>
      <c r="J8">
        <f>Assumptions!$C$14</f>
        <v/>
      </c>
      <c r="K8">
        <f>Assumptions!$C$14</f>
        <v/>
      </c>
      <c r="L8">
        <f>Assumptions!$C$14</f>
        <v/>
      </c>
      <c r="M8">
        <f>Assumptions!$C$14</f>
        <v/>
      </c>
      <c r="N8">
        <f>Assumptions!$C$14</f>
        <v/>
      </c>
      <c r="O8">
        <f>Assumptions!$C$15</f>
        <v/>
      </c>
      <c r="P8">
        <f>Assumptions!$C$15</f>
        <v/>
      </c>
      <c r="Q8">
        <f>Assumptions!$C$15</f>
        <v/>
      </c>
      <c r="R8">
        <f>Assumptions!$C$15</f>
        <v/>
      </c>
      <c r="S8">
        <f>Assumptions!$C$15</f>
        <v/>
      </c>
      <c r="T8">
        <f>Assumptions!$C$15</f>
        <v/>
      </c>
      <c r="U8">
        <f>Assumptions!$C$15</f>
        <v/>
      </c>
      <c r="V8">
        <f>Assumptions!$C$15</f>
        <v/>
      </c>
      <c r="W8">
        <f>Assumptions!$C$15</f>
        <v/>
      </c>
      <c r="X8">
        <f>Assumptions!$C$15</f>
        <v/>
      </c>
      <c r="Y8">
        <f>Assumptions!$C$15</f>
        <v/>
      </c>
      <c r="Z8">
        <f>Assumptions!$C$15</f>
        <v/>
      </c>
      <c r="AA8">
        <f>Assumptions!$C$16</f>
        <v/>
      </c>
      <c r="AB8">
        <f>Assumptions!$C$16</f>
        <v/>
      </c>
      <c r="AC8">
        <f>Assumptions!$C$16</f>
        <v/>
      </c>
      <c r="AD8">
        <f>Assumptions!$C$16</f>
        <v/>
      </c>
      <c r="AE8">
        <f>Assumptions!$C$16</f>
        <v/>
      </c>
      <c r="AF8">
        <f>Assumptions!$C$16</f>
        <v/>
      </c>
      <c r="AG8">
        <f>Assumptions!$C$16</f>
        <v/>
      </c>
      <c r="AH8">
        <f>Assumptions!$C$16</f>
        <v/>
      </c>
      <c r="AI8">
        <f>Assumptions!$C$16</f>
        <v/>
      </c>
      <c r="AJ8">
        <f>Assumptions!$C$16</f>
        <v/>
      </c>
      <c r="AK8">
        <f>Assumptions!$C$16</f>
        <v/>
      </c>
      <c r="AL8">
        <f>Assumptions!$C$16</f>
        <v/>
      </c>
      <c r="AM8">
        <f>Assumptions!$C$17</f>
        <v/>
      </c>
      <c r="AN8">
        <f>Assumptions!$C$17</f>
        <v/>
      </c>
      <c r="AO8">
        <f>Assumptions!$C$17</f>
        <v/>
      </c>
      <c r="AP8">
        <f>Assumptions!$C$17</f>
        <v/>
      </c>
      <c r="AQ8">
        <f>Assumptions!$C$17</f>
        <v/>
      </c>
      <c r="AR8">
        <f>Assumptions!$C$17</f>
        <v/>
      </c>
      <c r="AS8">
        <f>Assumptions!$C$17</f>
        <v/>
      </c>
      <c r="AT8">
        <f>Assumptions!$C$17</f>
        <v/>
      </c>
      <c r="AU8">
        <f>Assumptions!$C$17</f>
        <v/>
      </c>
      <c r="AV8">
        <f>Assumptions!$C$17</f>
        <v/>
      </c>
      <c r="AW8">
        <f>Assumptions!$C$17</f>
        <v/>
      </c>
      <c r="AX8">
        <f>Assumptions!$C$17</f>
        <v/>
      </c>
      <c r="AY8">
        <f>Assumptions!$C$17</f>
        <v/>
      </c>
      <c r="AZ8">
        <f>Assumptions!$C$17</f>
        <v/>
      </c>
      <c r="BA8">
        <f>Assumptions!$C$17</f>
        <v/>
      </c>
      <c r="BB8">
        <f>Assumptions!$C$17</f>
        <v/>
      </c>
      <c r="BC8">
        <f>Assumptions!$C$17</f>
        <v/>
      </c>
      <c r="BD8">
        <f>Assumptions!$C$17</f>
        <v/>
      </c>
      <c r="BE8">
        <f>Assumptions!$C$17</f>
        <v/>
      </c>
      <c r="BF8">
        <f>Assumptions!$C$17</f>
        <v/>
      </c>
      <c r="BG8">
        <f>Assumptions!$C$17</f>
        <v/>
      </c>
      <c r="BH8">
        <f>Assumptions!$C$17</f>
        <v/>
      </c>
      <c r="BI8">
        <f>Assumptions!$C$17</f>
        <v/>
      </c>
      <c r="BJ8">
        <f>Assumptions!$C$17</f>
        <v/>
      </c>
      <c r="BK8">
        <f>Assumptions!$C$17</f>
        <v/>
      </c>
      <c r="BL8">
        <f>Assumptions!$C$17</f>
        <v/>
      </c>
      <c r="BM8">
        <f>Assumptions!$C$17</f>
        <v/>
      </c>
      <c r="BN8">
        <f>Assumptions!$C$17</f>
        <v/>
      </c>
      <c r="BO8">
        <f>Assumptions!$C$17</f>
        <v/>
      </c>
      <c r="BP8">
        <f>Assumptions!$C$17</f>
        <v/>
      </c>
      <c r="BQ8">
        <f>Assumptions!$C$17</f>
        <v/>
      </c>
      <c r="BR8">
        <f>Assumptions!$C$17</f>
        <v/>
      </c>
      <c r="BS8">
        <f>Assumptions!$C$17</f>
        <v/>
      </c>
      <c r="BT8">
        <f>Assumptions!$C$17</f>
        <v/>
      </c>
      <c r="BU8">
        <f>Assumptions!$C$17</f>
        <v/>
      </c>
      <c r="BV8">
        <f>Assumptions!$C$17</f>
        <v/>
      </c>
    </row>
    <row r="10">
      <c r="B10" t="inlineStr">
        <is>
          <t>SUBSCRIBERS (organizers)</t>
        </is>
      </c>
    </row>
    <row r="11">
      <c r="B11" t="inlineStr">
        <is>
          <t>Opening</t>
        </is>
      </c>
      <c r="C11" t="n">
        <v>0</v>
      </c>
      <c r="D11">
        <f>C15</f>
        <v/>
      </c>
      <c r="E11">
        <f>D15</f>
        <v/>
      </c>
      <c r="F11">
        <f>E15</f>
        <v/>
      </c>
      <c r="G11">
        <f>F15</f>
        <v/>
      </c>
      <c r="H11">
        <f>G15</f>
        <v/>
      </c>
      <c r="I11">
        <f>H15</f>
        <v/>
      </c>
      <c r="J11">
        <f>I15</f>
        <v/>
      </c>
      <c r="K11">
        <f>J15</f>
        <v/>
      </c>
      <c r="L11">
        <f>K15</f>
        <v/>
      </c>
      <c r="M11">
        <f>L15</f>
        <v/>
      </c>
      <c r="N11">
        <f>M15</f>
        <v/>
      </c>
      <c r="O11">
        <f>N15</f>
        <v/>
      </c>
      <c r="P11">
        <f>O15</f>
        <v/>
      </c>
      <c r="Q11">
        <f>P15</f>
        <v/>
      </c>
      <c r="R11">
        <f>Q15</f>
        <v/>
      </c>
      <c r="S11">
        <f>R15</f>
        <v/>
      </c>
      <c r="T11">
        <f>S15</f>
        <v/>
      </c>
      <c r="U11">
        <f>T15</f>
        <v/>
      </c>
      <c r="V11">
        <f>U15</f>
        <v/>
      </c>
      <c r="W11">
        <f>V15</f>
        <v/>
      </c>
      <c r="X11">
        <f>W15</f>
        <v/>
      </c>
      <c r="Y11">
        <f>X15</f>
        <v/>
      </c>
      <c r="Z11">
        <f>Y15</f>
        <v/>
      </c>
      <c r="AA11">
        <f>Z15</f>
        <v/>
      </c>
      <c r="AB11">
        <f>AA15</f>
        <v/>
      </c>
      <c r="AC11">
        <f>AB15</f>
        <v/>
      </c>
      <c r="AD11">
        <f>AC15</f>
        <v/>
      </c>
      <c r="AE11">
        <f>AD15</f>
        <v/>
      </c>
      <c r="AF11">
        <f>AE15</f>
        <v/>
      </c>
      <c r="AG11">
        <f>AF15</f>
        <v/>
      </c>
      <c r="AH11">
        <f>AG15</f>
        <v/>
      </c>
      <c r="AI11">
        <f>AH15</f>
        <v/>
      </c>
      <c r="AJ11">
        <f>AI15</f>
        <v/>
      </c>
      <c r="AK11">
        <f>AJ15</f>
        <v/>
      </c>
      <c r="AL11">
        <f>AK15</f>
        <v/>
      </c>
      <c r="AM11">
        <f>AL15</f>
        <v/>
      </c>
      <c r="AN11">
        <f>AM15</f>
        <v/>
      </c>
      <c r="AO11">
        <f>AN15</f>
        <v/>
      </c>
      <c r="AP11">
        <f>AO15</f>
        <v/>
      </c>
      <c r="AQ11">
        <f>AP15</f>
        <v/>
      </c>
      <c r="AR11">
        <f>AQ15</f>
        <v/>
      </c>
      <c r="AS11">
        <f>AR15</f>
        <v/>
      </c>
      <c r="AT11">
        <f>AS15</f>
        <v/>
      </c>
      <c r="AU11">
        <f>AT15</f>
        <v/>
      </c>
      <c r="AV11">
        <f>AU15</f>
        <v/>
      </c>
      <c r="AW11">
        <f>AV15</f>
        <v/>
      </c>
      <c r="AX11">
        <f>AW15</f>
        <v/>
      </c>
      <c r="AY11">
        <f>AX15</f>
        <v/>
      </c>
      <c r="AZ11">
        <f>AY15</f>
        <v/>
      </c>
      <c r="BA11">
        <f>AZ15</f>
        <v/>
      </c>
      <c r="BB11">
        <f>BA15</f>
        <v/>
      </c>
      <c r="BC11">
        <f>BB15</f>
        <v/>
      </c>
      <c r="BD11">
        <f>BC15</f>
        <v/>
      </c>
      <c r="BE11">
        <f>BD15</f>
        <v/>
      </c>
      <c r="BF11">
        <f>BE15</f>
        <v/>
      </c>
      <c r="BG11">
        <f>BF15</f>
        <v/>
      </c>
      <c r="BH11">
        <f>BG15</f>
        <v/>
      </c>
      <c r="BI11">
        <f>BH15</f>
        <v/>
      </c>
      <c r="BJ11">
        <f>BI15</f>
        <v/>
      </c>
      <c r="BK11">
        <f>BJ15</f>
        <v/>
      </c>
      <c r="BL11">
        <f>BK15</f>
        <v/>
      </c>
      <c r="BM11">
        <f>BL15</f>
        <v/>
      </c>
      <c r="BN11">
        <f>BM15</f>
        <v/>
      </c>
      <c r="BO11">
        <f>BN15</f>
        <v/>
      </c>
      <c r="BP11">
        <f>BO15</f>
        <v/>
      </c>
      <c r="BQ11">
        <f>BP15</f>
        <v/>
      </c>
      <c r="BR11">
        <f>BQ15</f>
        <v/>
      </c>
      <c r="BS11">
        <f>BR15</f>
        <v/>
      </c>
      <c r="BT11">
        <f>BS15</f>
        <v/>
      </c>
      <c r="BU11">
        <f>BT15</f>
        <v/>
      </c>
      <c r="BV11">
        <f>BU15</f>
        <v/>
      </c>
    </row>
    <row r="12">
      <c r="B12" t="inlineStr">
        <is>
          <t xml:space="preserve">  Conversion intake (ramp)</t>
        </is>
      </c>
      <c r="C12">
        <f>IF(C5&lt;=Assumptions!$C$13,Assumptions!$C$12/Assumptions!$C$13,0)</f>
        <v/>
      </c>
      <c r="D12">
        <f>IF(D5&lt;=Assumptions!$C$13,Assumptions!$C$12/Assumptions!$C$13,0)</f>
        <v/>
      </c>
      <c r="E12">
        <f>IF(E5&lt;=Assumptions!$C$13,Assumptions!$C$12/Assumptions!$C$13,0)</f>
        <v/>
      </c>
      <c r="F12">
        <f>IF(F5&lt;=Assumptions!$C$13,Assumptions!$C$12/Assumptions!$C$13,0)</f>
        <v/>
      </c>
      <c r="G12">
        <f>IF(G5&lt;=Assumptions!$C$13,Assumptions!$C$12/Assumptions!$C$13,0)</f>
        <v/>
      </c>
      <c r="H12">
        <f>IF(H5&lt;=Assumptions!$C$13,Assumptions!$C$12/Assumptions!$C$13,0)</f>
        <v/>
      </c>
      <c r="I12">
        <f>IF(I5&lt;=Assumptions!$C$13,Assumptions!$C$12/Assumptions!$C$13,0)</f>
        <v/>
      </c>
      <c r="J12">
        <f>IF(J5&lt;=Assumptions!$C$13,Assumptions!$C$12/Assumptions!$C$13,0)</f>
        <v/>
      </c>
      <c r="K12">
        <f>IF(K5&lt;=Assumptions!$C$13,Assumptions!$C$12/Assumptions!$C$13,0)</f>
        <v/>
      </c>
      <c r="L12">
        <f>IF(L5&lt;=Assumptions!$C$13,Assumptions!$C$12/Assumptions!$C$13,0)</f>
        <v/>
      </c>
      <c r="M12">
        <f>IF(M5&lt;=Assumptions!$C$13,Assumptions!$C$12/Assumptions!$C$13,0)</f>
        <v/>
      </c>
      <c r="N12">
        <f>IF(N5&lt;=Assumptions!$C$13,Assumptions!$C$12/Assumptions!$C$13,0)</f>
        <v/>
      </c>
      <c r="O12">
        <f>IF(O5&lt;=Assumptions!$C$13,Assumptions!$C$12/Assumptions!$C$13,0)</f>
        <v/>
      </c>
      <c r="P12">
        <f>IF(P5&lt;=Assumptions!$C$13,Assumptions!$C$12/Assumptions!$C$13,0)</f>
        <v/>
      </c>
      <c r="Q12">
        <f>IF(Q5&lt;=Assumptions!$C$13,Assumptions!$C$12/Assumptions!$C$13,0)</f>
        <v/>
      </c>
      <c r="R12">
        <f>IF(R5&lt;=Assumptions!$C$13,Assumptions!$C$12/Assumptions!$C$13,0)</f>
        <v/>
      </c>
      <c r="S12">
        <f>IF(S5&lt;=Assumptions!$C$13,Assumptions!$C$12/Assumptions!$C$13,0)</f>
        <v/>
      </c>
      <c r="T12">
        <f>IF(T5&lt;=Assumptions!$C$13,Assumptions!$C$12/Assumptions!$C$13,0)</f>
        <v/>
      </c>
      <c r="U12">
        <f>IF(U5&lt;=Assumptions!$C$13,Assumptions!$C$12/Assumptions!$C$13,0)</f>
        <v/>
      </c>
      <c r="V12">
        <f>IF(V5&lt;=Assumptions!$C$13,Assumptions!$C$12/Assumptions!$C$13,0)</f>
        <v/>
      </c>
      <c r="W12">
        <f>IF(W5&lt;=Assumptions!$C$13,Assumptions!$C$12/Assumptions!$C$13,0)</f>
        <v/>
      </c>
      <c r="X12">
        <f>IF(X5&lt;=Assumptions!$C$13,Assumptions!$C$12/Assumptions!$C$13,0)</f>
        <v/>
      </c>
      <c r="Y12">
        <f>IF(Y5&lt;=Assumptions!$C$13,Assumptions!$C$12/Assumptions!$C$13,0)</f>
        <v/>
      </c>
      <c r="Z12">
        <f>IF(Z5&lt;=Assumptions!$C$13,Assumptions!$C$12/Assumptions!$C$13,0)</f>
        <v/>
      </c>
      <c r="AA12">
        <f>IF(AA5&lt;=Assumptions!$C$13,Assumptions!$C$12/Assumptions!$C$13,0)</f>
        <v/>
      </c>
      <c r="AB12">
        <f>IF(AB5&lt;=Assumptions!$C$13,Assumptions!$C$12/Assumptions!$C$13,0)</f>
        <v/>
      </c>
      <c r="AC12">
        <f>IF(AC5&lt;=Assumptions!$C$13,Assumptions!$C$12/Assumptions!$C$13,0)</f>
        <v/>
      </c>
      <c r="AD12">
        <f>IF(AD5&lt;=Assumptions!$C$13,Assumptions!$C$12/Assumptions!$C$13,0)</f>
        <v/>
      </c>
      <c r="AE12">
        <f>IF(AE5&lt;=Assumptions!$C$13,Assumptions!$C$12/Assumptions!$C$13,0)</f>
        <v/>
      </c>
      <c r="AF12">
        <f>IF(AF5&lt;=Assumptions!$C$13,Assumptions!$C$12/Assumptions!$C$13,0)</f>
        <v/>
      </c>
      <c r="AG12">
        <f>IF(AG5&lt;=Assumptions!$C$13,Assumptions!$C$12/Assumptions!$C$13,0)</f>
        <v/>
      </c>
      <c r="AH12">
        <f>IF(AH5&lt;=Assumptions!$C$13,Assumptions!$C$12/Assumptions!$C$13,0)</f>
        <v/>
      </c>
      <c r="AI12">
        <f>IF(AI5&lt;=Assumptions!$C$13,Assumptions!$C$12/Assumptions!$C$13,0)</f>
        <v/>
      </c>
      <c r="AJ12">
        <f>IF(AJ5&lt;=Assumptions!$C$13,Assumptions!$C$12/Assumptions!$C$13,0)</f>
        <v/>
      </c>
      <c r="AK12">
        <f>IF(AK5&lt;=Assumptions!$C$13,Assumptions!$C$12/Assumptions!$C$13,0)</f>
        <v/>
      </c>
      <c r="AL12">
        <f>IF(AL5&lt;=Assumptions!$C$13,Assumptions!$C$12/Assumptions!$C$13,0)</f>
        <v/>
      </c>
      <c r="AM12">
        <f>IF(AM5&lt;=Assumptions!$C$13,Assumptions!$C$12/Assumptions!$C$13,0)</f>
        <v/>
      </c>
      <c r="AN12">
        <f>IF(AN5&lt;=Assumptions!$C$13,Assumptions!$C$12/Assumptions!$C$13,0)</f>
        <v/>
      </c>
      <c r="AO12">
        <f>IF(AO5&lt;=Assumptions!$C$13,Assumptions!$C$12/Assumptions!$C$13,0)</f>
        <v/>
      </c>
      <c r="AP12">
        <f>IF(AP5&lt;=Assumptions!$C$13,Assumptions!$C$12/Assumptions!$C$13,0)</f>
        <v/>
      </c>
      <c r="AQ12">
        <f>IF(AQ5&lt;=Assumptions!$C$13,Assumptions!$C$12/Assumptions!$C$13,0)</f>
        <v/>
      </c>
      <c r="AR12">
        <f>IF(AR5&lt;=Assumptions!$C$13,Assumptions!$C$12/Assumptions!$C$13,0)</f>
        <v/>
      </c>
      <c r="AS12">
        <f>IF(AS5&lt;=Assumptions!$C$13,Assumptions!$C$12/Assumptions!$C$13,0)</f>
        <v/>
      </c>
      <c r="AT12">
        <f>IF(AT5&lt;=Assumptions!$C$13,Assumptions!$C$12/Assumptions!$C$13,0)</f>
        <v/>
      </c>
      <c r="AU12">
        <f>IF(AU5&lt;=Assumptions!$C$13,Assumptions!$C$12/Assumptions!$C$13,0)</f>
        <v/>
      </c>
      <c r="AV12">
        <f>IF(AV5&lt;=Assumptions!$C$13,Assumptions!$C$12/Assumptions!$C$13,0)</f>
        <v/>
      </c>
      <c r="AW12">
        <f>IF(AW5&lt;=Assumptions!$C$13,Assumptions!$C$12/Assumptions!$C$13,0)</f>
        <v/>
      </c>
      <c r="AX12">
        <f>IF(AX5&lt;=Assumptions!$C$13,Assumptions!$C$12/Assumptions!$C$13,0)</f>
        <v/>
      </c>
      <c r="AY12">
        <f>IF(AY5&lt;=Assumptions!$C$13,Assumptions!$C$12/Assumptions!$C$13,0)</f>
        <v/>
      </c>
      <c r="AZ12">
        <f>IF(AZ5&lt;=Assumptions!$C$13,Assumptions!$C$12/Assumptions!$C$13,0)</f>
        <v/>
      </c>
      <c r="BA12">
        <f>IF(BA5&lt;=Assumptions!$C$13,Assumptions!$C$12/Assumptions!$C$13,0)</f>
        <v/>
      </c>
      <c r="BB12">
        <f>IF(BB5&lt;=Assumptions!$C$13,Assumptions!$C$12/Assumptions!$C$13,0)</f>
        <v/>
      </c>
      <c r="BC12">
        <f>IF(BC5&lt;=Assumptions!$C$13,Assumptions!$C$12/Assumptions!$C$13,0)</f>
        <v/>
      </c>
      <c r="BD12">
        <f>IF(BD5&lt;=Assumptions!$C$13,Assumptions!$C$12/Assumptions!$C$13,0)</f>
        <v/>
      </c>
      <c r="BE12">
        <f>IF(BE5&lt;=Assumptions!$C$13,Assumptions!$C$12/Assumptions!$C$13,0)</f>
        <v/>
      </c>
      <c r="BF12">
        <f>IF(BF5&lt;=Assumptions!$C$13,Assumptions!$C$12/Assumptions!$C$13,0)</f>
        <v/>
      </c>
      <c r="BG12">
        <f>IF(BG5&lt;=Assumptions!$C$13,Assumptions!$C$12/Assumptions!$C$13,0)</f>
        <v/>
      </c>
      <c r="BH12">
        <f>IF(BH5&lt;=Assumptions!$C$13,Assumptions!$C$12/Assumptions!$C$13,0)</f>
        <v/>
      </c>
      <c r="BI12">
        <f>IF(BI5&lt;=Assumptions!$C$13,Assumptions!$C$12/Assumptions!$C$13,0)</f>
        <v/>
      </c>
      <c r="BJ12">
        <f>IF(BJ5&lt;=Assumptions!$C$13,Assumptions!$C$12/Assumptions!$C$13,0)</f>
        <v/>
      </c>
      <c r="BK12">
        <f>IF(BK5&lt;=Assumptions!$C$13,Assumptions!$C$12/Assumptions!$C$13,0)</f>
        <v/>
      </c>
      <c r="BL12">
        <f>IF(BL5&lt;=Assumptions!$C$13,Assumptions!$C$12/Assumptions!$C$13,0)</f>
        <v/>
      </c>
      <c r="BM12">
        <f>IF(BM5&lt;=Assumptions!$C$13,Assumptions!$C$12/Assumptions!$C$13,0)</f>
        <v/>
      </c>
      <c r="BN12">
        <f>IF(BN5&lt;=Assumptions!$C$13,Assumptions!$C$12/Assumptions!$C$13,0)</f>
        <v/>
      </c>
      <c r="BO12">
        <f>IF(BO5&lt;=Assumptions!$C$13,Assumptions!$C$12/Assumptions!$C$13,0)</f>
        <v/>
      </c>
      <c r="BP12">
        <f>IF(BP5&lt;=Assumptions!$C$13,Assumptions!$C$12/Assumptions!$C$13,0)</f>
        <v/>
      </c>
      <c r="BQ12">
        <f>IF(BQ5&lt;=Assumptions!$C$13,Assumptions!$C$12/Assumptions!$C$13,0)</f>
        <v/>
      </c>
      <c r="BR12">
        <f>IF(BR5&lt;=Assumptions!$C$13,Assumptions!$C$12/Assumptions!$C$13,0)</f>
        <v/>
      </c>
      <c r="BS12">
        <f>IF(BS5&lt;=Assumptions!$C$13,Assumptions!$C$12/Assumptions!$C$13,0)</f>
        <v/>
      </c>
      <c r="BT12">
        <f>IF(BT5&lt;=Assumptions!$C$13,Assumptions!$C$12/Assumptions!$C$13,0)</f>
        <v/>
      </c>
      <c r="BU12">
        <f>IF(BU5&lt;=Assumptions!$C$13,Assumptions!$C$12/Assumptions!$C$13,0)</f>
        <v/>
      </c>
      <c r="BV12">
        <f>IF(BV5&lt;=Assumptions!$C$13,Assumptions!$C$12/Assumptions!$C$13,0)</f>
        <v/>
      </c>
    </row>
    <row r="13">
      <c r="B13" t="inlineStr">
        <is>
          <t xml:space="preserve">  Organic + invite-converted</t>
        </is>
      </c>
      <c r="C13">
        <f>C11*C8</f>
        <v/>
      </c>
      <c r="D13">
        <f>D11*D8</f>
        <v/>
      </c>
      <c r="E13">
        <f>E11*E8</f>
        <v/>
      </c>
      <c r="F13">
        <f>F11*F8</f>
        <v/>
      </c>
      <c r="G13">
        <f>G11*G8</f>
        <v/>
      </c>
      <c r="H13">
        <f>H11*H8</f>
        <v/>
      </c>
      <c r="I13">
        <f>I11*I8</f>
        <v/>
      </c>
      <c r="J13">
        <f>J11*J8</f>
        <v/>
      </c>
      <c r="K13">
        <f>K11*K8</f>
        <v/>
      </c>
      <c r="L13">
        <f>L11*L8</f>
        <v/>
      </c>
      <c r="M13">
        <f>M11*M8</f>
        <v/>
      </c>
      <c r="N13">
        <f>N11*N8</f>
        <v/>
      </c>
      <c r="O13">
        <f>O11*O8</f>
        <v/>
      </c>
      <c r="P13">
        <f>P11*P8</f>
        <v/>
      </c>
      <c r="Q13">
        <f>Q11*Q8</f>
        <v/>
      </c>
      <c r="R13">
        <f>R11*R8</f>
        <v/>
      </c>
      <c r="S13">
        <f>S11*S8</f>
        <v/>
      </c>
      <c r="T13">
        <f>T11*T8</f>
        <v/>
      </c>
      <c r="U13">
        <f>U11*U8</f>
        <v/>
      </c>
      <c r="V13">
        <f>V11*V8</f>
        <v/>
      </c>
      <c r="W13">
        <f>W11*W8</f>
        <v/>
      </c>
      <c r="X13">
        <f>X11*X8</f>
        <v/>
      </c>
      <c r="Y13">
        <f>Y11*Y8</f>
        <v/>
      </c>
      <c r="Z13">
        <f>Z11*Z8</f>
        <v/>
      </c>
      <c r="AA13">
        <f>AA11*AA8</f>
        <v/>
      </c>
      <c r="AB13">
        <f>AB11*AB8</f>
        <v/>
      </c>
      <c r="AC13">
        <f>AC11*AC8</f>
        <v/>
      </c>
      <c r="AD13">
        <f>AD11*AD8</f>
        <v/>
      </c>
      <c r="AE13">
        <f>AE11*AE8</f>
        <v/>
      </c>
      <c r="AF13">
        <f>AF11*AF8</f>
        <v/>
      </c>
      <c r="AG13">
        <f>AG11*AG8</f>
        <v/>
      </c>
      <c r="AH13">
        <f>AH11*AH8</f>
        <v/>
      </c>
      <c r="AI13">
        <f>AI11*AI8</f>
        <v/>
      </c>
      <c r="AJ13">
        <f>AJ11*AJ8</f>
        <v/>
      </c>
      <c r="AK13">
        <f>AK11*AK8</f>
        <v/>
      </c>
      <c r="AL13">
        <f>AL11*AL8</f>
        <v/>
      </c>
      <c r="AM13">
        <f>AM11*AM8</f>
        <v/>
      </c>
      <c r="AN13">
        <f>AN11*AN8</f>
        <v/>
      </c>
      <c r="AO13">
        <f>AO11*AO8</f>
        <v/>
      </c>
      <c r="AP13">
        <f>AP11*AP8</f>
        <v/>
      </c>
      <c r="AQ13">
        <f>AQ11*AQ8</f>
        <v/>
      </c>
      <c r="AR13">
        <f>AR11*AR8</f>
        <v/>
      </c>
      <c r="AS13">
        <f>AS11*AS8</f>
        <v/>
      </c>
      <c r="AT13">
        <f>AT11*AT8</f>
        <v/>
      </c>
      <c r="AU13">
        <f>AU11*AU8</f>
        <v/>
      </c>
      <c r="AV13">
        <f>AV11*AV8</f>
        <v/>
      </c>
      <c r="AW13">
        <f>AW11*AW8</f>
        <v/>
      </c>
      <c r="AX13">
        <f>AX11*AX8</f>
        <v/>
      </c>
      <c r="AY13">
        <f>AY11*AY8</f>
        <v/>
      </c>
      <c r="AZ13">
        <f>AZ11*AZ8</f>
        <v/>
      </c>
      <c r="BA13">
        <f>BA11*BA8</f>
        <v/>
      </c>
      <c r="BB13">
        <f>BB11*BB8</f>
        <v/>
      </c>
      <c r="BC13">
        <f>BC11*BC8</f>
        <v/>
      </c>
      <c r="BD13">
        <f>BD11*BD8</f>
        <v/>
      </c>
      <c r="BE13">
        <f>BE11*BE8</f>
        <v/>
      </c>
      <c r="BF13">
        <f>BF11*BF8</f>
        <v/>
      </c>
      <c r="BG13">
        <f>BG11*BG8</f>
        <v/>
      </c>
      <c r="BH13">
        <f>BH11*BH8</f>
        <v/>
      </c>
      <c r="BI13">
        <f>BI11*BI8</f>
        <v/>
      </c>
      <c r="BJ13">
        <f>BJ11*BJ8</f>
        <v/>
      </c>
      <c r="BK13">
        <f>BK11*BK8</f>
        <v/>
      </c>
      <c r="BL13">
        <f>BL11*BL8</f>
        <v/>
      </c>
      <c r="BM13">
        <f>BM11*BM8</f>
        <v/>
      </c>
      <c r="BN13">
        <f>BN11*BN8</f>
        <v/>
      </c>
      <c r="BO13">
        <f>BO11*BO8</f>
        <v/>
      </c>
      <c r="BP13">
        <f>BP11*BP8</f>
        <v/>
      </c>
      <c r="BQ13">
        <f>BQ11*BQ8</f>
        <v/>
      </c>
      <c r="BR13">
        <f>BR11*BR8</f>
        <v/>
      </c>
      <c r="BS13">
        <f>BS11*BS8</f>
        <v/>
      </c>
      <c r="BT13">
        <f>BT11*BT8</f>
        <v/>
      </c>
      <c r="BU13">
        <f>BU11*BU8</f>
        <v/>
      </c>
      <c r="BV13">
        <f>BV11*BV8</f>
        <v/>
      </c>
    </row>
    <row r="14">
      <c r="B14" t="inlineStr">
        <is>
          <t xml:space="preserve">  Churned</t>
        </is>
      </c>
      <c r="C14">
        <f>-C11*Assumptions!$C$18</f>
        <v/>
      </c>
      <c r="D14">
        <f>-D11*Assumptions!$C$18</f>
        <v/>
      </c>
      <c r="E14">
        <f>-E11*Assumptions!$C$18</f>
        <v/>
      </c>
      <c r="F14">
        <f>-F11*Assumptions!$C$18</f>
        <v/>
      </c>
      <c r="G14">
        <f>-G11*Assumptions!$C$18</f>
        <v/>
      </c>
      <c r="H14">
        <f>-H11*Assumptions!$C$18</f>
        <v/>
      </c>
      <c r="I14">
        <f>-I11*Assumptions!$C$18</f>
        <v/>
      </c>
      <c r="J14">
        <f>-J11*Assumptions!$C$18</f>
        <v/>
      </c>
      <c r="K14">
        <f>-K11*Assumptions!$C$18</f>
        <v/>
      </c>
      <c r="L14">
        <f>-L11*Assumptions!$C$18</f>
        <v/>
      </c>
      <c r="M14">
        <f>-M11*Assumptions!$C$18</f>
        <v/>
      </c>
      <c r="N14">
        <f>-N11*Assumptions!$C$18</f>
        <v/>
      </c>
      <c r="O14">
        <f>-O11*Assumptions!$C$18</f>
        <v/>
      </c>
      <c r="P14">
        <f>-P11*Assumptions!$C$18</f>
        <v/>
      </c>
      <c r="Q14">
        <f>-Q11*Assumptions!$C$18</f>
        <v/>
      </c>
      <c r="R14">
        <f>-R11*Assumptions!$C$18</f>
        <v/>
      </c>
      <c r="S14">
        <f>-S11*Assumptions!$C$18</f>
        <v/>
      </c>
      <c r="T14">
        <f>-T11*Assumptions!$C$18</f>
        <v/>
      </c>
      <c r="U14">
        <f>-U11*Assumptions!$C$18</f>
        <v/>
      </c>
      <c r="V14">
        <f>-V11*Assumptions!$C$18</f>
        <v/>
      </c>
      <c r="W14">
        <f>-W11*Assumptions!$C$18</f>
        <v/>
      </c>
      <c r="X14">
        <f>-X11*Assumptions!$C$18</f>
        <v/>
      </c>
      <c r="Y14">
        <f>-Y11*Assumptions!$C$18</f>
        <v/>
      </c>
      <c r="Z14">
        <f>-Z11*Assumptions!$C$18</f>
        <v/>
      </c>
      <c r="AA14">
        <f>-AA11*Assumptions!$C$18</f>
        <v/>
      </c>
      <c r="AB14">
        <f>-AB11*Assumptions!$C$18</f>
        <v/>
      </c>
      <c r="AC14">
        <f>-AC11*Assumptions!$C$18</f>
        <v/>
      </c>
      <c r="AD14">
        <f>-AD11*Assumptions!$C$18</f>
        <v/>
      </c>
      <c r="AE14">
        <f>-AE11*Assumptions!$C$18</f>
        <v/>
      </c>
      <c r="AF14">
        <f>-AF11*Assumptions!$C$18</f>
        <v/>
      </c>
      <c r="AG14">
        <f>-AG11*Assumptions!$C$18</f>
        <v/>
      </c>
      <c r="AH14">
        <f>-AH11*Assumptions!$C$18</f>
        <v/>
      </c>
      <c r="AI14">
        <f>-AI11*Assumptions!$C$18</f>
        <v/>
      </c>
      <c r="AJ14">
        <f>-AJ11*Assumptions!$C$18</f>
        <v/>
      </c>
      <c r="AK14">
        <f>-AK11*Assumptions!$C$18</f>
        <v/>
      </c>
      <c r="AL14">
        <f>-AL11*Assumptions!$C$18</f>
        <v/>
      </c>
      <c r="AM14">
        <f>-AM11*Assumptions!$C$18</f>
        <v/>
      </c>
      <c r="AN14">
        <f>-AN11*Assumptions!$C$18</f>
        <v/>
      </c>
      <c r="AO14">
        <f>-AO11*Assumptions!$C$18</f>
        <v/>
      </c>
      <c r="AP14">
        <f>-AP11*Assumptions!$C$18</f>
        <v/>
      </c>
      <c r="AQ14">
        <f>-AQ11*Assumptions!$C$18</f>
        <v/>
      </c>
      <c r="AR14">
        <f>-AR11*Assumptions!$C$18</f>
        <v/>
      </c>
      <c r="AS14">
        <f>-AS11*Assumptions!$C$18</f>
        <v/>
      </c>
      <c r="AT14">
        <f>-AT11*Assumptions!$C$18</f>
        <v/>
      </c>
      <c r="AU14">
        <f>-AU11*Assumptions!$C$18</f>
        <v/>
      </c>
      <c r="AV14">
        <f>-AV11*Assumptions!$C$18</f>
        <v/>
      </c>
      <c r="AW14">
        <f>-AW11*Assumptions!$C$18</f>
        <v/>
      </c>
      <c r="AX14">
        <f>-AX11*Assumptions!$C$18</f>
        <v/>
      </c>
      <c r="AY14">
        <f>-AY11*Assumptions!$C$18</f>
        <v/>
      </c>
      <c r="AZ14">
        <f>-AZ11*Assumptions!$C$18</f>
        <v/>
      </c>
      <c r="BA14">
        <f>-BA11*Assumptions!$C$18</f>
        <v/>
      </c>
      <c r="BB14">
        <f>-BB11*Assumptions!$C$18</f>
        <v/>
      </c>
      <c r="BC14">
        <f>-BC11*Assumptions!$C$18</f>
        <v/>
      </c>
      <c r="BD14">
        <f>-BD11*Assumptions!$C$18</f>
        <v/>
      </c>
      <c r="BE14">
        <f>-BE11*Assumptions!$C$18</f>
        <v/>
      </c>
      <c r="BF14">
        <f>-BF11*Assumptions!$C$18</f>
        <v/>
      </c>
      <c r="BG14">
        <f>-BG11*Assumptions!$C$18</f>
        <v/>
      </c>
      <c r="BH14">
        <f>-BH11*Assumptions!$C$18</f>
        <v/>
      </c>
      <c r="BI14">
        <f>-BI11*Assumptions!$C$18</f>
        <v/>
      </c>
      <c r="BJ14">
        <f>-BJ11*Assumptions!$C$18</f>
        <v/>
      </c>
      <c r="BK14">
        <f>-BK11*Assumptions!$C$18</f>
        <v/>
      </c>
      <c r="BL14">
        <f>-BL11*Assumptions!$C$18</f>
        <v/>
      </c>
      <c r="BM14">
        <f>-BM11*Assumptions!$C$18</f>
        <v/>
      </c>
      <c r="BN14">
        <f>-BN11*Assumptions!$C$18</f>
        <v/>
      </c>
      <c r="BO14">
        <f>-BO11*Assumptions!$C$18</f>
        <v/>
      </c>
      <c r="BP14">
        <f>-BP11*Assumptions!$C$18</f>
        <v/>
      </c>
      <c r="BQ14">
        <f>-BQ11*Assumptions!$C$18</f>
        <v/>
      </c>
      <c r="BR14">
        <f>-BR11*Assumptions!$C$18</f>
        <v/>
      </c>
      <c r="BS14">
        <f>-BS11*Assumptions!$C$18</f>
        <v/>
      </c>
      <c r="BT14">
        <f>-BT11*Assumptions!$C$18</f>
        <v/>
      </c>
      <c r="BU14">
        <f>-BU11*Assumptions!$C$18</f>
        <v/>
      </c>
      <c r="BV14">
        <f>-BV11*Assumptions!$C$18</f>
        <v/>
      </c>
    </row>
    <row r="15">
      <c r="B15" t="inlineStr">
        <is>
          <t>Closing</t>
        </is>
      </c>
      <c r="C15">
        <f>C11+C12+C13+C14</f>
        <v/>
      </c>
      <c r="D15">
        <f>D11+D12+D13+D14</f>
        <v/>
      </c>
      <c r="E15">
        <f>E11+E12+E13+E14</f>
        <v/>
      </c>
      <c r="F15">
        <f>F11+F12+F13+F14</f>
        <v/>
      </c>
      <c r="G15">
        <f>G11+G12+G13+G14</f>
        <v/>
      </c>
      <c r="H15">
        <f>H11+H12+H13+H14</f>
        <v/>
      </c>
      <c r="I15">
        <f>I11+I12+I13+I14</f>
        <v/>
      </c>
      <c r="J15">
        <f>J11+J12+J13+J14</f>
        <v/>
      </c>
      <c r="K15">
        <f>K11+K12+K13+K14</f>
        <v/>
      </c>
      <c r="L15">
        <f>L11+L12+L13+L14</f>
        <v/>
      </c>
      <c r="M15">
        <f>M11+M12+M13+M14</f>
        <v/>
      </c>
      <c r="N15">
        <f>N11+N12+N13+N14</f>
        <v/>
      </c>
      <c r="O15">
        <f>O11+O12+O13+O14</f>
        <v/>
      </c>
      <c r="P15">
        <f>P11+P12+P13+P14</f>
        <v/>
      </c>
      <c r="Q15">
        <f>Q11+Q12+Q13+Q14</f>
        <v/>
      </c>
      <c r="R15">
        <f>R11+R12+R13+R14</f>
        <v/>
      </c>
      <c r="S15">
        <f>S11+S12+S13+S14</f>
        <v/>
      </c>
      <c r="T15">
        <f>T11+T12+T13+T14</f>
        <v/>
      </c>
      <c r="U15">
        <f>U11+U12+U13+U14</f>
        <v/>
      </c>
      <c r="V15">
        <f>V11+V12+V13+V14</f>
        <v/>
      </c>
      <c r="W15">
        <f>W11+W12+W13+W14</f>
        <v/>
      </c>
      <c r="X15">
        <f>X11+X12+X13+X14</f>
        <v/>
      </c>
      <c r="Y15">
        <f>Y11+Y12+Y13+Y14</f>
        <v/>
      </c>
      <c r="Z15">
        <f>Z11+Z12+Z13+Z14</f>
        <v/>
      </c>
      <c r="AA15">
        <f>AA11+AA12+AA13+AA14</f>
        <v/>
      </c>
      <c r="AB15">
        <f>AB11+AB12+AB13+AB14</f>
        <v/>
      </c>
      <c r="AC15">
        <f>AC11+AC12+AC13+AC14</f>
        <v/>
      </c>
      <c r="AD15">
        <f>AD11+AD12+AD13+AD14</f>
        <v/>
      </c>
      <c r="AE15">
        <f>AE11+AE12+AE13+AE14</f>
        <v/>
      </c>
      <c r="AF15">
        <f>AF11+AF12+AF13+AF14</f>
        <v/>
      </c>
      <c r="AG15">
        <f>AG11+AG12+AG13+AG14</f>
        <v/>
      </c>
      <c r="AH15">
        <f>AH11+AH12+AH13+AH14</f>
        <v/>
      </c>
      <c r="AI15">
        <f>AI11+AI12+AI13+AI14</f>
        <v/>
      </c>
      <c r="AJ15">
        <f>AJ11+AJ12+AJ13+AJ14</f>
        <v/>
      </c>
      <c r="AK15">
        <f>AK11+AK12+AK13+AK14</f>
        <v/>
      </c>
      <c r="AL15">
        <f>AL11+AL12+AL13+AL14</f>
        <v/>
      </c>
      <c r="AM15">
        <f>AM11+AM12+AM13+AM14</f>
        <v/>
      </c>
      <c r="AN15">
        <f>AN11+AN12+AN13+AN14</f>
        <v/>
      </c>
      <c r="AO15">
        <f>AO11+AO12+AO13+AO14</f>
        <v/>
      </c>
      <c r="AP15">
        <f>AP11+AP12+AP13+AP14</f>
        <v/>
      </c>
      <c r="AQ15">
        <f>AQ11+AQ12+AQ13+AQ14</f>
        <v/>
      </c>
      <c r="AR15">
        <f>AR11+AR12+AR13+AR14</f>
        <v/>
      </c>
      <c r="AS15">
        <f>AS11+AS12+AS13+AS14</f>
        <v/>
      </c>
      <c r="AT15">
        <f>AT11+AT12+AT13+AT14</f>
        <v/>
      </c>
      <c r="AU15">
        <f>AU11+AU12+AU13+AU14</f>
        <v/>
      </c>
      <c r="AV15">
        <f>AV11+AV12+AV13+AV14</f>
        <v/>
      </c>
      <c r="AW15">
        <f>AW11+AW12+AW13+AW14</f>
        <v/>
      </c>
      <c r="AX15">
        <f>AX11+AX12+AX13+AX14</f>
        <v/>
      </c>
      <c r="AY15">
        <f>AY11+AY12+AY13+AY14</f>
        <v/>
      </c>
      <c r="AZ15">
        <f>AZ11+AZ12+AZ13+AZ14</f>
        <v/>
      </c>
      <c r="BA15">
        <f>BA11+BA12+BA13+BA14</f>
        <v/>
      </c>
      <c r="BB15">
        <f>BB11+BB12+BB13+BB14</f>
        <v/>
      </c>
      <c r="BC15">
        <f>BC11+BC12+BC13+BC14</f>
        <v/>
      </c>
      <c r="BD15">
        <f>BD11+BD12+BD13+BD14</f>
        <v/>
      </c>
      <c r="BE15">
        <f>BE11+BE12+BE13+BE14</f>
        <v/>
      </c>
      <c r="BF15">
        <f>BF11+BF12+BF13+BF14</f>
        <v/>
      </c>
      <c r="BG15">
        <f>BG11+BG12+BG13+BG14</f>
        <v/>
      </c>
      <c r="BH15">
        <f>BH11+BH12+BH13+BH14</f>
        <v/>
      </c>
      <c r="BI15">
        <f>BI11+BI12+BI13+BI14</f>
        <v/>
      </c>
      <c r="BJ15">
        <f>BJ11+BJ12+BJ13+BJ14</f>
        <v/>
      </c>
      <c r="BK15">
        <f>BK11+BK12+BK13+BK14</f>
        <v/>
      </c>
      <c r="BL15">
        <f>BL11+BL12+BL13+BL14</f>
        <v/>
      </c>
      <c r="BM15">
        <f>BM11+BM12+BM13+BM14</f>
        <v/>
      </c>
      <c r="BN15">
        <f>BN11+BN12+BN13+BN14</f>
        <v/>
      </c>
      <c r="BO15">
        <f>BO11+BO12+BO13+BO14</f>
        <v/>
      </c>
      <c r="BP15">
        <f>BP11+BP12+BP13+BP14</f>
        <v/>
      </c>
      <c r="BQ15">
        <f>BQ11+BQ12+BQ13+BQ14</f>
        <v/>
      </c>
      <c r="BR15">
        <f>BR11+BR12+BR13+BR14</f>
        <v/>
      </c>
      <c r="BS15">
        <f>BS11+BS12+BS13+BS14</f>
        <v/>
      </c>
      <c r="BT15">
        <f>BT11+BT12+BT13+BT14</f>
        <v/>
      </c>
      <c r="BU15">
        <f>BU11+BU12+BU13+BU14</f>
        <v/>
      </c>
      <c r="BV15">
        <f>BV11+BV12+BV13+BV14</f>
        <v/>
      </c>
    </row>
    <row r="16">
      <c r="B16" t="inlineStr">
        <is>
          <t>Average</t>
        </is>
      </c>
      <c r="C16">
        <f>AVERAGE(C11,C15)</f>
        <v/>
      </c>
      <c r="D16">
        <f>AVERAGE(D11,D15)</f>
        <v/>
      </c>
      <c r="E16">
        <f>AVERAGE(E11,E15)</f>
        <v/>
      </c>
      <c r="F16">
        <f>AVERAGE(F11,F15)</f>
        <v/>
      </c>
      <c r="G16">
        <f>AVERAGE(G11,G15)</f>
        <v/>
      </c>
      <c r="H16">
        <f>AVERAGE(H11,H15)</f>
        <v/>
      </c>
      <c r="I16">
        <f>AVERAGE(I11,I15)</f>
        <v/>
      </c>
      <c r="J16">
        <f>AVERAGE(J11,J15)</f>
        <v/>
      </c>
      <c r="K16">
        <f>AVERAGE(K11,K15)</f>
        <v/>
      </c>
      <c r="L16">
        <f>AVERAGE(L11,L15)</f>
        <v/>
      </c>
      <c r="M16">
        <f>AVERAGE(M11,M15)</f>
        <v/>
      </c>
      <c r="N16">
        <f>AVERAGE(N11,N15)</f>
        <v/>
      </c>
      <c r="O16">
        <f>AVERAGE(O11,O15)</f>
        <v/>
      </c>
      <c r="P16">
        <f>AVERAGE(P11,P15)</f>
        <v/>
      </c>
      <c r="Q16">
        <f>AVERAGE(Q11,Q15)</f>
        <v/>
      </c>
      <c r="R16">
        <f>AVERAGE(R11,R15)</f>
        <v/>
      </c>
      <c r="S16">
        <f>AVERAGE(S11,S15)</f>
        <v/>
      </c>
      <c r="T16">
        <f>AVERAGE(T11,T15)</f>
        <v/>
      </c>
      <c r="U16">
        <f>AVERAGE(U11,U15)</f>
        <v/>
      </c>
      <c r="V16">
        <f>AVERAGE(V11,V15)</f>
        <v/>
      </c>
      <c r="W16">
        <f>AVERAGE(W11,W15)</f>
        <v/>
      </c>
      <c r="X16">
        <f>AVERAGE(X11,X15)</f>
        <v/>
      </c>
      <c r="Y16">
        <f>AVERAGE(Y11,Y15)</f>
        <v/>
      </c>
      <c r="Z16">
        <f>AVERAGE(Z11,Z15)</f>
        <v/>
      </c>
      <c r="AA16">
        <f>AVERAGE(AA11,AA15)</f>
        <v/>
      </c>
      <c r="AB16">
        <f>AVERAGE(AB11,AB15)</f>
        <v/>
      </c>
      <c r="AC16">
        <f>AVERAGE(AC11,AC15)</f>
        <v/>
      </c>
      <c r="AD16">
        <f>AVERAGE(AD11,AD15)</f>
        <v/>
      </c>
      <c r="AE16">
        <f>AVERAGE(AE11,AE15)</f>
        <v/>
      </c>
      <c r="AF16">
        <f>AVERAGE(AF11,AF15)</f>
        <v/>
      </c>
      <c r="AG16">
        <f>AVERAGE(AG11,AG15)</f>
        <v/>
      </c>
      <c r="AH16">
        <f>AVERAGE(AH11,AH15)</f>
        <v/>
      </c>
      <c r="AI16">
        <f>AVERAGE(AI11,AI15)</f>
        <v/>
      </c>
      <c r="AJ16">
        <f>AVERAGE(AJ11,AJ15)</f>
        <v/>
      </c>
      <c r="AK16">
        <f>AVERAGE(AK11,AK15)</f>
        <v/>
      </c>
      <c r="AL16">
        <f>AVERAGE(AL11,AL15)</f>
        <v/>
      </c>
      <c r="AM16">
        <f>AVERAGE(AM11,AM15)</f>
        <v/>
      </c>
      <c r="AN16">
        <f>AVERAGE(AN11,AN15)</f>
        <v/>
      </c>
      <c r="AO16">
        <f>AVERAGE(AO11,AO15)</f>
        <v/>
      </c>
      <c r="AP16">
        <f>AVERAGE(AP11,AP15)</f>
        <v/>
      </c>
      <c r="AQ16">
        <f>AVERAGE(AQ11,AQ15)</f>
        <v/>
      </c>
      <c r="AR16">
        <f>AVERAGE(AR11,AR15)</f>
        <v/>
      </c>
      <c r="AS16">
        <f>AVERAGE(AS11,AS15)</f>
        <v/>
      </c>
      <c r="AT16">
        <f>AVERAGE(AT11,AT15)</f>
        <v/>
      </c>
      <c r="AU16">
        <f>AVERAGE(AU11,AU15)</f>
        <v/>
      </c>
      <c r="AV16">
        <f>AVERAGE(AV11,AV15)</f>
        <v/>
      </c>
      <c r="AW16">
        <f>AVERAGE(AW11,AW15)</f>
        <v/>
      </c>
      <c r="AX16">
        <f>AVERAGE(AX11,AX15)</f>
        <v/>
      </c>
      <c r="AY16">
        <f>AVERAGE(AY11,AY15)</f>
        <v/>
      </c>
      <c r="AZ16">
        <f>AVERAGE(AZ11,AZ15)</f>
        <v/>
      </c>
      <c r="BA16">
        <f>AVERAGE(BA11,BA15)</f>
        <v/>
      </c>
      <c r="BB16">
        <f>AVERAGE(BB11,BB15)</f>
        <v/>
      </c>
      <c r="BC16">
        <f>AVERAGE(BC11,BC15)</f>
        <v/>
      </c>
      <c r="BD16">
        <f>AVERAGE(BD11,BD15)</f>
        <v/>
      </c>
      <c r="BE16">
        <f>AVERAGE(BE11,BE15)</f>
        <v/>
      </c>
      <c r="BF16">
        <f>AVERAGE(BF11,BF15)</f>
        <v/>
      </c>
      <c r="BG16">
        <f>AVERAGE(BG11,BG15)</f>
        <v/>
      </c>
      <c r="BH16">
        <f>AVERAGE(BH11,BH15)</f>
        <v/>
      </c>
      <c r="BI16">
        <f>AVERAGE(BI11,BI15)</f>
        <v/>
      </c>
      <c r="BJ16">
        <f>AVERAGE(BJ11,BJ15)</f>
        <v/>
      </c>
      <c r="BK16">
        <f>AVERAGE(BK11,BK15)</f>
        <v/>
      </c>
      <c r="BL16">
        <f>AVERAGE(BL11,BL15)</f>
        <v/>
      </c>
      <c r="BM16">
        <f>AVERAGE(BM11,BM15)</f>
        <v/>
      </c>
      <c r="BN16">
        <f>AVERAGE(BN11,BN15)</f>
        <v/>
      </c>
      <c r="BO16">
        <f>AVERAGE(BO11,BO15)</f>
        <v/>
      </c>
      <c r="BP16">
        <f>AVERAGE(BP11,BP15)</f>
        <v/>
      </c>
      <c r="BQ16">
        <f>AVERAGE(BQ11,BQ15)</f>
        <v/>
      </c>
      <c r="BR16">
        <f>AVERAGE(BR11,BR15)</f>
        <v/>
      </c>
      <c r="BS16">
        <f>AVERAGE(BS11,BS15)</f>
        <v/>
      </c>
      <c r="BT16">
        <f>AVERAGE(BT11,BT15)</f>
        <v/>
      </c>
      <c r="BU16">
        <f>AVERAGE(BU11,BU15)</f>
        <v/>
      </c>
      <c r="BV16">
        <f>AVERAGE(BV11,BV15)</f>
        <v/>
      </c>
    </row>
    <row r="18">
      <c r="B18" s="2" t="inlineStr">
        <is>
          <t>THE GAME LAYER</t>
        </is>
      </c>
    </row>
    <row r="19">
      <c r="B19" t="inlineStr">
        <is>
          <t>Active players (avg)</t>
        </is>
      </c>
      <c r="C19">
        <f>C16*Assumptions!$C$22</f>
        <v/>
      </c>
      <c r="D19">
        <f>D16*Assumptions!$C$22</f>
        <v/>
      </c>
      <c r="E19">
        <f>E16*Assumptions!$C$22</f>
        <v/>
      </c>
      <c r="F19">
        <f>F16*Assumptions!$C$22</f>
        <v/>
      </c>
      <c r="G19">
        <f>G16*Assumptions!$C$22</f>
        <v/>
      </c>
      <c r="H19">
        <f>H16*Assumptions!$C$22</f>
        <v/>
      </c>
      <c r="I19">
        <f>I16*Assumptions!$C$22</f>
        <v/>
      </c>
      <c r="J19">
        <f>J16*Assumptions!$C$22</f>
        <v/>
      </c>
      <c r="K19">
        <f>K16*Assumptions!$C$22</f>
        <v/>
      </c>
      <c r="L19">
        <f>L16*Assumptions!$C$22</f>
        <v/>
      </c>
      <c r="M19">
        <f>M16*Assumptions!$C$22</f>
        <v/>
      </c>
      <c r="N19">
        <f>N16*Assumptions!$C$22</f>
        <v/>
      </c>
      <c r="O19">
        <f>O16*Assumptions!$C$22</f>
        <v/>
      </c>
      <c r="P19">
        <f>P16*Assumptions!$C$22</f>
        <v/>
      </c>
      <c r="Q19">
        <f>Q16*Assumptions!$C$22</f>
        <v/>
      </c>
      <c r="R19">
        <f>R16*Assumptions!$C$22</f>
        <v/>
      </c>
      <c r="S19">
        <f>S16*Assumptions!$C$22</f>
        <v/>
      </c>
      <c r="T19">
        <f>T16*Assumptions!$C$22</f>
        <v/>
      </c>
      <c r="U19">
        <f>U16*Assumptions!$C$22</f>
        <v/>
      </c>
      <c r="V19">
        <f>V16*Assumptions!$C$22</f>
        <v/>
      </c>
      <c r="W19">
        <f>W16*Assumptions!$C$22</f>
        <v/>
      </c>
      <c r="X19">
        <f>X16*Assumptions!$C$22</f>
        <v/>
      </c>
      <c r="Y19">
        <f>Y16*Assumptions!$C$22</f>
        <v/>
      </c>
      <c r="Z19">
        <f>Z16*Assumptions!$C$22</f>
        <v/>
      </c>
      <c r="AA19">
        <f>AA16*Assumptions!$C$22</f>
        <v/>
      </c>
      <c r="AB19">
        <f>AB16*Assumptions!$C$22</f>
        <v/>
      </c>
      <c r="AC19">
        <f>AC16*Assumptions!$C$22</f>
        <v/>
      </c>
      <c r="AD19">
        <f>AD16*Assumptions!$C$22</f>
        <v/>
      </c>
      <c r="AE19">
        <f>AE16*Assumptions!$C$22</f>
        <v/>
      </c>
      <c r="AF19">
        <f>AF16*Assumptions!$C$22</f>
        <v/>
      </c>
      <c r="AG19">
        <f>AG16*Assumptions!$C$22</f>
        <v/>
      </c>
      <c r="AH19">
        <f>AH16*Assumptions!$C$22</f>
        <v/>
      </c>
      <c r="AI19">
        <f>AI16*Assumptions!$C$22</f>
        <v/>
      </c>
      <c r="AJ19">
        <f>AJ16*Assumptions!$C$22</f>
        <v/>
      </c>
      <c r="AK19">
        <f>AK16*Assumptions!$C$22</f>
        <v/>
      </c>
      <c r="AL19">
        <f>AL16*Assumptions!$C$22</f>
        <v/>
      </c>
      <c r="AM19">
        <f>AM16*Assumptions!$C$22</f>
        <v/>
      </c>
      <c r="AN19">
        <f>AN16*Assumptions!$C$22</f>
        <v/>
      </c>
      <c r="AO19">
        <f>AO16*Assumptions!$C$22</f>
        <v/>
      </c>
      <c r="AP19">
        <f>AP16*Assumptions!$C$22</f>
        <v/>
      </c>
      <c r="AQ19">
        <f>AQ16*Assumptions!$C$22</f>
        <v/>
      </c>
      <c r="AR19">
        <f>AR16*Assumptions!$C$22</f>
        <v/>
      </c>
      <c r="AS19">
        <f>AS16*Assumptions!$C$22</f>
        <v/>
      </c>
      <c r="AT19">
        <f>AT16*Assumptions!$C$22</f>
        <v/>
      </c>
      <c r="AU19">
        <f>AU16*Assumptions!$C$22</f>
        <v/>
      </c>
      <c r="AV19">
        <f>AV16*Assumptions!$C$22</f>
        <v/>
      </c>
      <c r="AW19">
        <f>AW16*Assumptions!$C$22</f>
        <v/>
      </c>
      <c r="AX19">
        <f>AX16*Assumptions!$C$22</f>
        <v/>
      </c>
      <c r="AY19">
        <f>AY16*Assumptions!$C$22</f>
        <v/>
      </c>
      <c r="AZ19">
        <f>AZ16*Assumptions!$C$22</f>
        <v/>
      </c>
      <c r="BA19">
        <f>BA16*Assumptions!$C$22</f>
        <v/>
      </c>
      <c r="BB19">
        <f>BB16*Assumptions!$C$22</f>
        <v/>
      </c>
      <c r="BC19">
        <f>BC16*Assumptions!$C$22</f>
        <v/>
      </c>
      <c r="BD19">
        <f>BD16*Assumptions!$C$22</f>
        <v/>
      </c>
      <c r="BE19">
        <f>BE16*Assumptions!$C$22</f>
        <v/>
      </c>
      <c r="BF19">
        <f>BF16*Assumptions!$C$22</f>
        <v/>
      </c>
      <c r="BG19">
        <f>BG16*Assumptions!$C$22</f>
        <v/>
      </c>
      <c r="BH19">
        <f>BH16*Assumptions!$C$22</f>
        <v/>
      </c>
      <c r="BI19">
        <f>BI16*Assumptions!$C$22</f>
        <v/>
      </c>
      <c r="BJ19">
        <f>BJ16*Assumptions!$C$22</f>
        <v/>
      </c>
      <c r="BK19">
        <f>BK16*Assumptions!$C$22</f>
        <v/>
      </c>
      <c r="BL19">
        <f>BL16*Assumptions!$C$22</f>
        <v/>
      </c>
      <c r="BM19">
        <f>BM16*Assumptions!$C$22</f>
        <v/>
      </c>
      <c r="BN19">
        <f>BN16*Assumptions!$C$22</f>
        <v/>
      </c>
      <c r="BO19">
        <f>BO16*Assumptions!$C$22</f>
        <v/>
      </c>
      <c r="BP19">
        <f>BP16*Assumptions!$C$22</f>
        <v/>
      </c>
      <c r="BQ19">
        <f>BQ16*Assumptions!$C$22</f>
        <v/>
      </c>
      <c r="BR19">
        <f>BR16*Assumptions!$C$22</f>
        <v/>
      </c>
      <c r="BS19">
        <f>BS16*Assumptions!$C$22</f>
        <v/>
      </c>
      <c r="BT19">
        <f>BT16*Assumptions!$C$22</f>
        <v/>
      </c>
      <c r="BU19">
        <f>BU16*Assumptions!$C$22</f>
        <v/>
      </c>
      <c r="BV19">
        <f>BV16*Assumptions!$C$22</f>
        <v/>
      </c>
    </row>
    <row r="20">
      <c r="B20" t="inlineStr">
        <is>
          <t>Money slips</t>
        </is>
      </c>
      <c r="C20">
        <f>C19*Assumptions!$C$23/Assumptions!$C$24</f>
        <v/>
      </c>
      <c r="D20">
        <f>D19*Assumptions!$C$23/Assumptions!$C$24</f>
        <v/>
      </c>
      <c r="E20">
        <f>E19*Assumptions!$C$23/Assumptions!$C$24</f>
        <v/>
      </c>
      <c r="F20">
        <f>F19*Assumptions!$C$23/Assumptions!$C$24</f>
        <v/>
      </c>
      <c r="G20">
        <f>G19*Assumptions!$C$23/Assumptions!$C$24</f>
        <v/>
      </c>
      <c r="H20">
        <f>H19*Assumptions!$C$23/Assumptions!$C$24</f>
        <v/>
      </c>
      <c r="I20">
        <f>I19*Assumptions!$C$23/Assumptions!$C$24</f>
        <v/>
      </c>
      <c r="J20">
        <f>J19*Assumptions!$C$23/Assumptions!$C$24</f>
        <v/>
      </c>
      <c r="K20">
        <f>K19*Assumptions!$C$23/Assumptions!$C$24</f>
        <v/>
      </c>
      <c r="L20">
        <f>L19*Assumptions!$C$23/Assumptions!$C$24</f>
        <v/>
      </c>
      <c r="M20">
        <f>M19*Assumptions!$C$23/Assumptions!$C$24</f>
        <v/>
      </c>
      <c r="N20">
        <f>N19*Assumptions!$C$23/Assumptions!$C$24</f>
        <v/>
      </c>
      <c r="O20">
        <f>O19*Assumptions!$C$23/Assumptions!$C$24</f>
        <v/>
      </c>
      <c r="P20">
        <f>P19*Assumptions!$C$23/Assumptions!$C$24</f>
        <v/>
      </c>
      <c r="Q20">
        <f>Q19*Assumptions!$C$23/Assumptions!$C$24</f>
        <v/>
      </c>
      <c r="R20">
        <f>R19*Assumptions!$C$23/Assumptions!$C$24</f>
        <v/>
      </c>
      <c r="S20">
        <f>S19*Assumptions!$C$23/Assumptions!$C$24</f>
        <v/>
      </c>
      <c r="T20">
        <f>T19*Assumptions!$C$23/Assumptions!$C$24</f>
        <v/>
      </c>
      <c r="U20">
        <f>U19*Assumptions!$C$23/Assumptions!$C$24</f>
        <v/>
      </c>
      <c r="V20">
        <f>V19*Assumptions!$C$23/Assumptions!$C$24</f>
        <v/>
      </c>
      <c r="W20">
        <f>W19*Assumptions!$C$23/Assumptions!$C$24</f>
        <v/>
      </c>
      <c r="X20">
        <f>X19*Assumptions!$C$23/Assumptions!$C$24</f>
        <v/>
      </c>
      <c r="Y20">
        <f>Y19*Assumptions!$C$23/Assumptions!$C$24</f>
        <v/>
      </c>
      <c r="Z20">
        <f>Z19*Assumptions!$C$23/Assumptions!$C$24</f>
        <v/>
      </c>
      <c r="AA20">
        <f>AA19*Assumptions!$C$23/Assumptions!$C$24</f>
        <v/>
      </c>
      <c r="AB20">
        <f>AB19*Assumptions!$C$23/Assumptions!$C$24</f>
        <v/>
      </c>
      <c r="AC20">
        <f>AC19*Assumptions!$C$23/Assumptions!$C$24</f>
        <v/>
      </c>
      <c r="AD20">
        <f>AD19*Assumptions!$C$23/Assumptions!$C$24</f>
        <v/>
      </c>
      <c r="AE20">
        <f>AE19*Assumptions!$C$23/Assumptions!$C$24</f>
        <v/>
      </c>
      <c r="AF20">
        <f>AF19*Assumptions!$C$23/Assumptions!$C$24</f>
        <v/>
      </c>
      <c r="AG20">
        <f>AG19*Assumptions!$C$23/Assumptions!$C$24</f>
        <v/>
      </c>
      <c r="AH20">
        <f>AH19*Assumptions!$C$23/Assumptions!$C$24</f>
        <v/>
      </c>
      <c r="AI20">
        <f>AI19*Assumptions!$C$23/Assumptions!$C$24</f>
        <v/>
      </c>
      <c r="AJ20">
        <f>AJ19*Assumptions!$C$23/Assumptions!$C$24</f>
        <v/>
      </c>
      <c r="AK20">
        <f>AK19*Assumptions!$C$23/Assumptions!$C$24</f>
        <v/>
      </c>
      <c r="AL20">
        <f>AL19*Assumptions!$C$23/Assumptions!$C$24</f>
        <v/>
      </c>
      <c r="AM20">
        <f>AM19*Assumptions!$C$23/Assumptions!$C$24</f>
        <v/>
      </c>
      <c r="AN20">
        <f>AN19*Assumptions!$C$23/Assumptions!$C$24</f>
        <v/>
      </c>
      <c r="AO20">
        <f>AO19*Assumptions!$C$23/Assumptions!$C$24</f>
        <v/>
      </c>
      <c r="AP20">
        <f>AP19*Assumptions!$C$23/Assumptions!$C$24</f>
        <v/>
      </c>
      <c r="AQ20">
        <f>AQ19*Assumptions!$C$23/Assumptions!$C$24</f>
        <v/>
      </c>
      <c r="AR20">
        <f>AR19*Assumptions!$C$23/Assumptions!$C$24</f>
        <v/>
      </c>
      <c r="AS20">
        <f>AS19*Assumptions!$C$23/Assumptions!$C$24</f>
        <v/>
      </c>
      <c r="AT20">
        <f>AT19*Assumptions!$C$23/Assumptions!$C$24</f>
        <v/>
      </c>
      <c r="AU20">
        <f>AU19*Assumptions!$C$23/Assumptions!$C$24</f>
        <v/>
      </c>
      <c r="AV20">
        <f>AV19*Assumptions!$C$23/Assumptions!$C$24</f>
        <v/>
      </c>
      <c r="AW20">
        <f>AW19*Assumptions!$C$23/Assumptions!$C$24</f>
        <v/>
      </c>
      <c r="AX20">
        <f>AX19*Assumptions!$C$23/Assumptions!$C$24</f>
        <v/>
      </c>
      <c r="AY20">
        <f>AY19*Assumptions!$C$23/Assumptions!$C$24</f>
        <v/>
      </c>
      <c r="AZ20">
        <f>AZ19*Assumptions!$C$23/Assumptions!$C$24</f>
        <v/>
      </c>
      <c r="BA20">
        <f>BA19*Assumptions!$C$23/Assumptions!$C$24</f>
        <v/>
      </c>
      <c r="BB20">
        <f>BB19*Assumptions!$C$23/Assumptions!$C$24</f>
        <v/>
      </c>
      <c r="BC20">
        <f>BC19*Assumptions!$C$23/Assumptions!$C$24</f>
        <v/>
      </c>
      <c r="BD20">
        <f>BD19*Assumptions!$C$23/Assumptions!$C$24</f>
        <v/>
      </c>
      <c r="BE20">
        <f>BE19*Assumptions!$C$23/Assumptions!$C$24</f>
        <v/>
      </c>
      <c r="BF20">
        <f>BF19*Assumptions!$C$23/Assumptions!$C$24</f>
        <v/>
      </c>
      <c r="BG20">
        <f>BG19*Assumptions!$C$23/Assumptions!$C$24</f>
        <v/>
      </c>
      <c r="BH20">
        <f>BH19*Assumptions!$C$23/Assumptions!$C$24</f>
        <v/>
      </c>
      <c r="BI20">
        <f>BI19*Assumptions!$C$23/Assumptions!$C$24</f>
        <v/>
      </c>
      <c r="BJ20">
        <f>BJ19*Assumptions!$C$23/Assumptions!$C$24</f>
        <v/>
      </c>
      <c r="BK20">
        <f>BK19*Assumptions!$C$23/Assumptions!$C$24</f>
        <v/>
      </c>
      <c r="BL20">
        <f>BL19*Assumptions!$C$23/Assumptions!$C$24</f>
        <v/>
      </c>
      <c r="BM20">
        <f>BM19*Assumptions!$C$23/Assumptions!$C$24</f>
        <v/>
      </c>
      <c r="BN20">
        <f>BN19*Assumptions!$C$23/Assumptions!$C$24</f>
        <v/>
      </c>
      <c r="BO20">
        <f>BO19*Assumptions!$C$23/Assumptions!$C$24</f>
        <v/>
      </c>
      <c r="BP20">
        <f>BP19*Assumptions!$C$23/Assumptions!$C$24</f>
        <v/>
      </c>
      <c r="BQ20">
        <f>BQ19*Assumptions!$C$23/Assumptions!$C$24</f>
        <v/>
      </c>
      <c r="BR20">
        <f>BR19*Assumptions!$C$23/Assumptions!$C$24</f>
        <v/>
      </c>
      <c r="BS20">
        <f>BS19*Assumptions!$C$23/Assumptions!$C$24</f>
        <v/>
      </c>
      <c r="BT20">
        <f>BT19*Assumptions!$C$23/Assumptions!$C$24</f>
        <v/>
      </c>
      <c r="BU20">
        <f>BU19*Assumptions!$C$23/Assumptions!$C$24</f>
        <v/>
      </c>
      <c r="BV20">
        <f>BV19*Assumptions!$C$23/Assumptions!$C$24</f>
        <v/>
      </c>
    </row>
    <row r="21">
      <c r="B21" t="inlineStr">
        <is>
          <t>Peer GMV ($) — revenue ZERO</t>
        </is>
      </c>
      <c r="C21">
        <f>C20*Assumptions!$C$25</f>
        <v/>
      </c>
      <c r="D21">
        <f>D20*Assumptions!$C$25</f>
        <v/>
      </c>
      <c r="E21">
        <f>E20*Assumptions!$C$25</f>
        <v/>
      </c>
      <c r="F21">
        <f>F20*Assumptions!$C$25</f>
        <v/>
      </c>
      <c r="G21">
        <f>G20*Assumptions!$C$25</f>
        <v/>
      </c>
      <c r="H21">
        <f>H20*Assumptions!$C$25</f>
        <v/>
      </c>
      <c r="I21">
        <f>I20*Assumptions!$C$25</f>
        <v/>
      </c>
      <c r="J21">
        <f>J20*Assumptions!$C$25</f>
        <v/>
      </c>
      <c r="K21">
        <f>K20*Assumptions!$C$25</f>
        <v/>
      </c>
      <c r="L21">
        <f>L20*Assumptions!$C$25</f>
        <v/>
      </c>
      <c r="M21">
        <f>M20*Assumptions!$C$25</f>
        <v/>
      </c>
      <c r="N21">
        <f>N20*Assumptions!$C$25</f>
        <v/>
      </c>
      <c r="O21">
        <f>O20*Assumptions!$C$25</f>
        <v/>
      </c>
      <c r="P21">
        <f>P20*Assumptions!$C$25</f>
        <v/>
      </c>
      <c r="Q21">
        <f>Q20*Assumptions!$C$25</f>
        <v/>
      </c>
      <c r="R21">
        <f>R20*Assumptions!$C$25</f>
        <v/>
      </c>
      <c r="S21">
        <f>S20*Assumptions!$C$25</f>
        <v/>
      </c>
      <c r="T21">
        <f>T20*Assumptions!$C$25</f>
        <v/>
      </c>
      <c r="U21">
        <f>U20*Assumptions!$C$25</f>
        <v/>
      </c>
      <c r="V21">
        <f>V20*Assumptions!$C$25</f>
        <v/>
      </c>
      <c r="W21">
        <f>W20*Assumptions!$C$25</f>
        <v/>
      </c>
      <c r="X21">
        <f>X20*Assumptions!$C$25</f>
        <v/>
      </c>
      <c r="Y21">
        <f>Y20*Assumptions!$C$25</f>
        <v/>
      </c>
      <c r="Z21">
        <f>Z20*Assumptions!$C$25</f>
        <v/>
      </c>
      <c r="AA21">
        <f>AA20*Assumptions!$C$25</f>
        <v/>
      </c>
      <c r="AB21">
        <f>AB20*Assumptions!$C$25</f>
        <v/>
      </c>
      <c r="AC21">
        <f>AC20*Assumptions!$C$25</f>
        <v/>
      </c>
      <c r="AD21">
        <f>AD20*Assumptions!$C$25</f>
        <v/>
      </c>
      <c r="AE21">
        <f>AE20*Assumptions!$C$25</f>
        <v/>
      </c>
      <c r="AF21">
        <f>AF20*Assumptions!$C$25</f>
        <v/>
      </c>
      <c r="AG21">
        <f>AG20*Assumptions!$C$25</f>
        <v/>
      </c>
      <c r="AH21">
        <f>AH20*Assumptions!$C$25</f>
        <v/>
      </c>
      <c r="AI21">
        <f>AI20*Assumptions!$C$25</f>
        <v/>
      </c>
      <c r="AJ21">
        <f>AJ20*Assumptions!$C$25</f>
        <v/>
      </c>
      <c r="AK21">
        <f>AK20*Assumptions!$C$25</f>
        <v/>
      </c>
      <c r="AL21">
        <f>AL20*Assumptions!$C$25</f>
        <v/>
      </c>
      <c r="AM21">
        <f>AM20*Assumptions!$C$25</f>
        <v/>
      </c>
      <c r="AN21">
        <f>AN20*Assumptions!$C$25</f>
        <v/>
      </c>
      <c r="AO21">
        <f>AO20*Assumptions!$C$25</f>
        <v/>
      </c>
      <c r="AP21">
        <f>AP20*Assumptions!$C$25</f>
        <v/>
      </c>
      <c r="AQ21">
        <f>AQ20*Assumptions!$C$25</f>
        <v/>
      </c>
      <c r="AR21">
        <f>AR20*Assumptions!$C$25</f>
        <v/>
      </c>
      <c r="AS21">
        <f>AS20*Assumptions!$C$25</f>
        <v/>
      </c>
      <c r="AT21">
        <f>AT20*Assumptions!$C$25</f>
        <v/>
      </c>
      <c r="AU21">
        <f>AU20*Assumptions!$C$25</f>
        <v/>
      </c>
      <c r="AV21">
        <f>AV20*Assumptions!$C$25</f>
        <v/>
      </c>
      <c r="AW21">
        <f>AW20*Assumptions!$C$25</f>
        <v/>
      </c>
      <c r="AX21">
        <f>AX20*Assumptions!$C$25</f>
        <v/>
      </c>
      <c r="AY21">
        <f>AY20*Assumptions!$C$25</f>
        <v/>
      </c>
      <c r="AZ21">
        <f>AZ20*Assumptions!$C$25</f>
        <v/>
      </c>
      <c r="BA21">
        <f>BA20*Assumptions!$C$25</f>
        <v/>
      </c>
      <c r="BB21">
        <f>BB20*Assumptions!$C$25</f>
        <v/>
      </c>
      <c r="BC21">
        <f>BC20*Assumptions!$C$25</f>
        <v/>
      </c>
      <c r="BD21">
        <f>BD20*Assumptions!$C$25</f>
        <v/>
      </c>
      <c r="BE21">
        <f>BE20*Assumptions!$C$25</f>
        <v/>
      </c>
      <c r="BF21">
        <f>BF20*Assumptions!$C$25</f>
        <v/>
      </c>
      <c r="BG21">
        <f>BG20*Assumptions!$C$25</f>
        <v/>
      </c>
      <c r="BH21">
        <f>BH20*Assumptions!$C$25</f>
        <v/>
      </c>
      <c r="BI21">
        <f>BI20*Assumptions!$C$25</f>
        <v/>
      </c>
      <c r="BJ21">
        <f>BJ20*Assumptions!$C$25</f>
        <v/>
      </c>
      <c r="BK21">
        <f>BK20*Assumptions!$C$25</f>
        <v/>
      </c>
      <c r="BL21">
        <f>BL20*Assumptions!$C$25</f>
        <v/>
      </c>
      <c r="BM21">
        <f>BM20*Assumptions!$C$25</f>
        <v/>
      </c>
      <c r="BN21">
        <f>BN20*Assumptions!$C$25</f>
        <v/>
      </c>
      <c r="BO21">
        <f>BO20*Assumptions!$C$25</f>
        <v/>
      </c>
      <c r="BP21">
        <f>BP20*Assumptions!$C$25</f>
        <v/>
      </c>
      <c r="BQ21">
        <f>BQ20*Assumptions!$C$25</f>
        <v/>
      </c>
      <c r="BR21">
        <f>BR20*Assumptions!$C$25</f>
        <v/>
      </c>
      <c r="BS21">
        <f>BS20*Assumptions!$C$25</f>
        <v/>
      </c>
      <c r="BT21">
        <f>BT20*Assumptions!$C$25</f>
        <v/>
      </c>
      <c r="BU21">
        <f>BU20*Assumptions!$C$25</f>
        <v/>
      </c>
      <c r="BV21">
        <f>BV20*Assumptions!$C$25</f>
        <v/>
      </c>
    </row>
    <row r="23">
      <c r="B23" s="2" t="inlineStr">
        <is>
          <t>REVENUE ($)</t>
        </is>
      </c>
    </row>
    <row r="24">
      <c r="B24" t="inlineStr">
        <is>
          <t>Subscriptions</t>
        </is>
      </c>
      <c r="C24">
        <f>C16*Assumptions!$C$19</f>
        <v/>
      </c>
      <c r="D24">
        <f>D16*Assumptions!$C$19</f>
        <v/>
      </c>
      <c r="E24">
        <f>E16*Assumptions!$C$19</f>
        <v/>
      </c>
      <c r="F24">
        <f>F16*Assumptions!$C$19</f>
        <v/>
      </c>
      <c r="G24">
        <f>G16*Assumptions!$C$19</f>
        <v/>
      </c>
      <c r="H24">
        <f>H16*Assumptions!$C$19</f>
        <v/>
      </c>
      <c r="I24">
        <f>I16*Assumptions!$C$19</f>
        <v/>
      </c>
      <c r="J24">
        <f>J16*Assumptions!$C$19</f>
        <v/>
      </c>
      <c r="K24">
        <f>K16*Assumptions!$C$19</f>
        <v/>
      </c>
      <c r="L24">
        <f>L16*Assumptions!$C$19</f>
        <v/>
      </c>
      <c r="M24">
        <f>M16*Assumptions!$C$19</f>
        <v/>
      </c>
      <c r="N24">
        <f>N16*Assumptions!$C$19</f>
        <v/>
      </c>
      <c r="O24">
        <f>O16*Assumptions!$C$19</f>
        <v/>
      </c>
      <c r="P24">
        <f>P16*Assumptions!$C$19</f>
        <v/>
      </c>
      <c r="Q24">
        <f>Q16*Assumptions!$C$19</f>
        <v/>
      </c>
      <c r="R24">
        <f>R16*Assumptions!$C$19</f>
        <v/>
      </c>
      <c r="S24">
        <f>S16*Assumptions!$C$19</f>
        <v/>
      </c>
      <c r="T24">
        <f>T16*Assumptions!$C$19</f>
        <v/>
      </c>
      <c r="U24">
        <f>U16*Assumptions!$C$19</f>
        <v/>
      </c>
      <c r="V24">
        <f>V16*Assumptions!$C$19</f>
        <v/>
      </c>
      <c r="W24">
        <f>W16*Assumptions!$C$19</f>
        <v/>
      </c>
      <c r="X24">
        <f>X16*Assumptions!$C$19</f>
        <v/>
      </c>
      <c r="Y24">
        <f>Y16*Assumptions!$C$19</f>
        <v/>
      </c>
      <c r="Z24">
        <f>Z16*Assumptions!$C$19</f>
        <v/>
      </c>
      <c r="AA24">
        <f>AA16*Assumptions!$C$19</f>
        <v/>
      </c>
      <c r="AB24">
        <f>AB16*Assumptions!$C$19</f>
        <v/>
      </c>
      <c r="AC24">
        <f>AC16*Assumptions!$C$19</f>
        <v/>
      </c>
      <c r="AD24">
        <f>AD16*Assumptions!$C$19</f>
        <v/>
      </c>
      <c r="AE24">
        <f>AE16*Assumptions!$C$19</f>
        <v/>
      </c>
      <c r="AF24">
        <f>AF16*Assumptions!$C$19</f>
        <v/>
      </c>
      <c r="AG24">
        <f>AG16*Assumptions!$C$19</f>
        <v/>
      </c>
      <c r="AH24">
        <f>AH16*Assumptions!$C$19</f>
        <v/>
      </c>
      <c r="AI24">
        <f>AI16*Assumptions!$C$19</f>
        <v/>
      </c>
      <c r="AJ24">
        <f>AJ16*Assumptions!$C$19</f>
        <v/>
      </c>
      <c r="AK24">
        <f>AK16*Assumptions!$C$19</f>
        <v/>
      </c>
      <c r="AL24">
        <f>AL16*Assumptions!$C$19</f>
        <v/>
      </c>
      <c r="AM24">
        <f>AM16*Assumptions!$C$19</f>
        <v/>
      </c>
      <c r="AN24">
        <f>AN16*Assumptions!$C$19</f>
        <v/>
      </c>
      <c r="AO24">
        <f>AO16*Assumptions!$C$19</f>
        <v/>
      </c>
      <c r="AP24">
        <f>AP16*Assumptions!$C$19</f>
        <v/>
      </c>
      <c r="AQ24">
        <f>AQ16*Assumptions!$C$19</f>
        <v/>
      </c>
      <c r="AR24">
        <f>AR16*Assumptions!$C$19</f>
        <v/>
      </c>
      <c r="AS24">
        <f>AS16*Assumptions!$C$19</f>
        <v/>
      </c>
      <c r="AT24">
        <f>AT16*Assumptions!$C$19</f>
        <v/>
      </c>
      <c r="AU24">
        <f>AU16*Assumptions!$C$19</f>
        <v/>
      </c>
      <c r="AV24">
        <f>AV16*Assumptions!$C$19</f>
        <v/>
      </c>
      <c r="AW24">
        <f>AW16*Assumptions!$C$19</f>
        <v/>
      </c>
      <c r="AX24">
        <f>AX16*Assumptions!$C$19</f>
        <v/>
      </c>
      <c r="AY24">
        <f>AY16*Assumptions!$C$19</f>
        <v/>
      </c>
      <c r="AZ24">
        <f>AZ16*Assumptions!$C$19</f>
        <v/>
      </c>
      <c r="BA24">
        <f>BA16*Assumptions!$C$19</f>
        <v/>
      </c>
      <c r="BB24">
        <f>BB16*Assumptions!$C$19</f>
        <v/>
      </c>
      <c r="BC24">
        <f>BC16*Assumptions!$C$19</f>
        <v/>
      </c>
      <c r="BD24">
        <f>BD16*Assumptions!$C$19</f>
        <v/>
      </c>
      <c r="BE24">
        <f>BE16*Assumptions!$C$19</f>
        <v/>
      </c>
      <c r="BF24">
        <f>BF16*Assumptions!$C$19</f>
        <v/>
      </c>
      <c r="BG24">
        <f>BG16*Assumptions!$C$19</f>
        <v/>
      </c>
      <c r="BH24">
        <f>BH16*Assumptions!$C$19</f>
        <v/>
      </c>
      <c r="BI24">
        <f>BI16*Assumptions!$C$19</f>
        <v/>
      </c>
      <c r="BJ24">
        <f>BJ16*Assumptions!$C$19</f>
        <v/>
      </c>
      <c r="BK24">
        <f>BK16*Assumptions!$C$19</f>
        <v/>
      </c>
      <c r="BL24">
        <f>BL16*Assumptions!$C$19</f>
        <v/>
      </c>
      <c r="BM24">
        <f>BM16*Assumptions!$C$19</f>
        <v/>
      </c>
      <c r="BN24">
        <f>BN16*Assumptions!$C$19</f>
        <v/>
      </c>
      <c r="BO24">
        <f>BO16*Assumptions!$C$19</f>
        <v/>
      </c>
      <c r="BP24">
        <f>BP16*Assumptions!$C$19</f>
        <v/>
      </c>
      <c r="BQ24">
        <f>BQ16*Assumptions!$C$19</f>
        <v/>
      </c>
      <c r="BR24">
        <f>BR16*Assumptions!$C$19</f>
        <v/>
      </c>
      <c r="BS24">
        <f>BS16*Assumptions!$C$19</f>
        <v/>
      </c>
      <c r="BT24">
        <f>BT16*Assumptions!$C$19</f>
        <v/>
      </c>
      <c r="BU24">
        <f>BU16*Assumptions!$C$19</f>
        <v/>
      </c>
      <c r="BV24">
        <f>BV16*Assumptions!$C$19</f>
        <v/>
      </c>
    </row>
    <row r="25">
      <c r="B25" t="inlineStr">
        <is>
          <t>Jackpot entries — gross</t>
        </is>
      </c>
      <c r="C25">
        <f>C20*Assumptions!$C$28*Assumptions!$C$24*Assumptions!$C$29</f>
        <v/>
      </c>
      <c r="D25">
        <f>D20*Assumptions!$C$28*Assumptions!$C$24*Assumptions!$C$29</f>
        <v/>
      </c>
      <c r="E25">
        <f>E20*Assumptions!$C$28*Assumptions!$C$24*Assumptions!$C$29</f>
        <v/>
      </c>
      <c r="F25">
        <f>F20*Assumptions!$C$28*Assumptions!$C$24*Assumptions!$C$29</f>
        <v/>
      </c>
      <c r="G25">
        <f>G20*Assumptions!$C$28*Assumptions!$C$24*Assumptions!$C$29</f>
        <v/>
      </c>
      <c r="H25">
        <f>H20*Assumptions!$C$28*Assumptions!$C$24*Assumptions!$C$29</f>
        <v/>
      </c>
      <c r="I25">
        <f>I20*Assumptions!$C$28*Assumptions!$C$24*Assumptions!$C$29</f>
        <v/>
      </c>
      <c r="J25">
        <f>J20*Assumptions!$C$28*Assumptions!$C$24*Assumptions!$C$29</f>
        <v/>
      </c>
      <c r="K25">
        <f>K20*Assumptions!$C$28*Assumptions!$C$24*Assumptions!$C$29</f>
        <v/>
      </c>
      <c r="L25">
        <f>L20*Assumptions!$C$28*Assumptions!$C$24*Assumptions!$C$29</f>
        <v/>
      </c>
      <c r="M25">
        <f>M20*Assumptions!$C$28*Assumptions!$C$24*Assumptions!$C$29</f>
        <v/>
      </c>
      <c r="N25">
        <f>N20*Assumptions!$C$28*Assumptions!$C$24*Assumptions!$C$29</f>
        <v/>
      </c>
      <c r="O25">
        <f>O20*Assumptions!$C$28*Assumptions!$C$24*Assumptions!$C$29</f>
        <v/>
      </c>
      <c r="P25">
        <f>P20*Assumptions!$C$28*Assumptions!$C$24*Assumptions!$C$29</f>
        <v/>
      </c>
      <c r="Q25">
        <f>Q20*Assumptions!$C$28*Assumptions!$C$24*Assumptions!$C$29</f>
        <v/>
      </c>
      <c r="R25">
        <f>R20*Assumptions!$C$28*Assumptions!$C$24*Assumptions!$C$29</f>
        <v/>
      </c>
      <c r="S25">
        <f>S20*Assumptions!$C$28*Assumptions!$C$24*Assumptions!$C$29</f>
        <v/>
      </c>
      <c r="T25">
        <f>T20*Assumptions!$C$28*Assumptions!$C$24*Assumptions!$C$29</f>
        <v/>
      </c>
      <c r="U25">
        <f>U20*Assumptions!$C$28*Assumptions!$C$24*Assumptions!$C$29</f>
        <v/>
      </c>
      <c r="V25">
        <f>V20*Assumptions!$C$28*Assumptions!$C$24*Assumptions!$C$29</f>
        <v/>
      </c>
      <c r="W25">
        <f>W20*Assumptions!$C$28*Assumptions!$C$24*Assumptions!$C$29</f>
        <v/>
      </c>
      <c r="X25">
        <f>X20*Assumptions!$C$28*Assumptions!$C$24*Assumptions!$C$29</f>
        <v/>
      </c>
      <c r="Y25">
        <f>Y20*Assumptions!$C$28*Assumptions!$C$24*Assumptions!$C$29</f>
        <v/>
      </c>
      <c r="Z25">
        <f>Z20*Assumptions!$C$28*Assumptions!$C$24*Assumptions!$C$29</f>
        <v/>
      </c>
      <c r="AA25">
        <f>AA20*Assumptions!$C$28*Assumptions!$C$24*Assumptions!$C$29</f>
        <v/>
      </c>
      <c r="AB25">
        <f>AB20*Assumptions!$C$28*Assumptions!$C$24*Assumptions!$C$29</f>
        <v/>
      </c>
      <c r="AC25">
        <f>AC20*Assumptions!$C$28*Assumptions!$C$24*Assumptions!$C$29</f>
        <v/>
      </c>
      <c r="AD25">
        <f>AD20*Assumptions!$C$28*Assumptions!$C$24*Assumptions!$C$29</f>
        <v/>
      </c>
      <c r="AE25">
        <f>AE20*Assumptions!$C$28*Assumptions!$C$24*Assumptions!$C$29</f>
        <v/>
      </c>
      <c r="AF25">
        <f>AF20*Assumptions!$C$28*Assumptions!$C$24*Assumptions!$C$29</f>
        <v/>
      </c>
      <c r="AG25">
        <f>AG20*Assumptions!$C$28*Assumptions!$C$24*Assumptions!$C$29</f>
        <v/>
      </c>
      <c r="AH25">
        <f>AH20*Assumptions!$C$28*Assumptions!$C$24*Assumptions!$C$29</f>
        <v/>
      </c>
      <c r="AI25">
        <f>AI20*Assumptions!$C$28*Assumptions!$C$24*Assumptions!$C$29</f>
        <v/>
      </c>
      <c r="AJ25">
        <f>AJ20*Assumptions!$C$28*Assumptions!$C$24*Assumptions!$C$29</f>
        <v/>
      </c>
      <c r="AK25">
        <f>AK20*Assumptions!$C$28*Assumptions!$C$24*Assumptions!$C$29</f>
        <v/>
      </c>
      <c r="AL25">
        <f>AL20*Assumptions!$C$28*Assumptions!$C$24*Assumptions!$C$29</f>
        <v/>
      </c>
      <c r="AM25">
        <f>AM20*Assumptions!$C$28*Assumptions!$C$24*Assumptions!$C$29</f>
        <v/>
      </c>
      <c r="AN25">
        <f>AN20*Assumptions!$C$28*Assumptions!$C$24*Assumptions!$C$29</f>
        <v/>
      </c>
      <c r="AO25">
        <f>AO20*Assumptions!$C$28*Assumptions!$C$24*Assumptions!$C$29</f>
        <v/>
      </c>
      <c r="AP25">
        <f>AP20*Assumptions!$C$28*Assumptions!$C$24*Assumptions!$C$29</f>
        <v/>
      </c>
      <c r="AQ25">
        <f>AQ20*Assumptions!$C$28*Assumptions!$C$24*Assumptions!$C$29</f>
        <v/>
      </c>
      <c r="AR25">
        <f>AR20*Assumptions!$C$28*Assumptions!$C$24*Assumptions!$C$29</f>
        <v/>
      </c>
      <c r="AS25">
        <f>AS20*Assumptions!$C$28*Assumptions!$C$24*Assumptions!$C$29</f>
        <v/>
      </c>
      <c r="AT25">
        <f>AT20*Assumptions!$C$28*Assumptions!$C$24*Assumptions!$C$29</f>
        <v/>
      </c>
      <c r="AU25">
        <f>AU20*Assumptions!$C$28*Assumptions!$C$24*Assumptions!$C$29</f>
        <v/>
      </c>
      <c r="AV25">
        <f>AV20*Assumptions!$C$28*Assumptions!$C$24*Assumptions!$C$29</f>
        <v/>
      </c>
      <c r="AW25">
        <f>AW20*Assumptions!$C$28*Assumptions!$C$24*Assumptions!$C$29</f>
        <v/>
      </c>
      <c r="AX25">
        <f>AX20*Assumptions!$C$28*Assumptions!$C$24*Assumptions!$C$29</f>
        <v/>
      </c>
      <c r="AY25">
        <f>AY20*Assumptions!$C$28*Assumptions!$C$24*Assumptions!$C$29</f>
        <v/>
      </c>
      <c r="AZ25">
        <f>AZ20*Assumptions!$C$28*Assumptions!$C$24*Assumptions!$C$29</f>
        <v/>
      </c>
      <c r="BA25">
        <f>BA20*Assumptions!$C$28*Assumptions!$C$24*Assumptions!$C$29</f>
        <v/>
      </c>
      <c r="BB25">
        <f>BB20*Assumptions!$C$28*Assumptions!$C$24*Assumptions!$C$29</f>
        <v/>
      </c>
      <c r="BC25">
        <f>BC20*Assumptions!$C$28*Assumptions!$C$24*Assumptions!$C$29</f>
        <v/>
      </c>
      <c r="BD25">
        <f>BD20*Assumptions!$C$28*Assumptions!$C$24*Assumptions!$C$29</f>
        <v/>
      </c>
      <c r="BE25">
        <f>BE20*Assumptions!$C$28*Assumptions!$C$24*Assumptions!$C$29</f>
        <v/>
      </c>
      <c r="BF25">
        <f>BF20*Assumptions!$C$28*Assumptions!$C$24*Assumptions!$C$29</f>
        <v/>
      </c>
      <c r="BG25">
        <f>BG20*Assumptions!$C$28*Assumptions!$C$24*Assumptions!$C$29</f>
        <v/>
      </c>
      <c r="BH25">
        <f>BH20*Assumptions!$C$28*Assumptions!$C$24*Assumptions!$C$29</f>
        <v/>
      </c>
      <c r="BI25">
        <f>BI20*Assumptions!$C$28*Assumptions!$C$24*Assumptions!$C$29</f>
        <v/>
      </c>
      <c r="BJ25">
        <f>BJ20*Assumptions!$C$28*Assumptions!$C$24*Assumptions!$C$29</f>
        <v/>
      </c>
      <c r="BK25">
        <f>BK20*Assumptions!$C$28*Assumptions!$C$24*Assumptions!$C$29</f>
        <v/>
      </c>
      <c r="BL25">
        <f>BL20*Assumptions!$C$28*Assumptions!$C$24*Assumptions!$C$29</f>
        <v/>
      </c>
      <c r="BM25">
        <f>BM20*Assumptions!$C$28*Assumptions!$C$24*Assumptions!$C$29</f>
        <v/>
      </c>
      <c r="BN25">
        <f>BN20*Assumptions!$C$28*Assumptions!$C$24*Assumptions!$C$29</f>
        <v/>
      </c>
      <c r="BO25">
        <f>BO20*Assumptions!$C$28*Assumptions!$C$24*Assumptions!$C$29</f>
        <v/>
      </c>
      <c r="BP25">
        <f>BP20*Assumptions!$C$28*Assumptions!$C$24*Assumptions!$C$29</f>
        <v/>
      </c>
      <c r="BQ25">
        <f>BQ20*Assumptions!$C$28*Assumptions!$C$24*Assumptions!$C$29</f>
        <v/>
      </c>
      <c r="BR25">
        <f>BR20*Assumptions!$C$28*Assumptions!$C$24*Assumptions!$C$29</f>
        <v/>
      </c>
      <c r="BS25">
        <f>BS20*Assumptions!$C$28*Assumptions!$C$24*Assumptions!$C$29</f>
        <v/>
      </c>
      <c r="BT25">
        <f>BT20*Assumptions!$C$28*Assumptions!$C$24*Assumptions!$C$29</f>
        <v/>
      </c>
      <c r="BU25">
        <f>BU20*Assumptions!$C$28*Assumptions!$C$24*Assumptions!$C$29</f>
        <v/>
      </c>
      <c r="BV25">
        <f>BV20*Assumptions!$C$28*Assumptions!$C$24*Assumptions!$C$29</f>
        <v/>
      </c>
    </row>
    <row r="26">
      <c r="B26" t="inlineStr">
        <is>
          <t>Jackpot — net to Get Lucky</t>
        </is>
      </c>
      <c r="C26">
        <f>C25*Assumptions!$C$30</f>
        <v/>
      </c>
      <c r="D26">
        <f>D25*Assumptions!$C$30</f>
        <v/>
      </c>
      <c r="E26">
        <f>E25*Assumptions!$C$30</f>
        <v/>
      </c>
      <c r="F26">
        <f>F25*Assumptions!$C$30</f>
        <v/>
      </c>
      <c r="G26">
        <f>G25*Assumptions!$C$30</f>
        <v/>
      </c>
      <c r="H26">
        <f>H25*Assumptions!$C$30</f>
        <v/>
      </c>
      <c r="I26">
        <f>I25*Assumptions!$C$30</f>
        <v/>
      </c>
      <c r="J26">
        <f>J25*Assumptions!$C$30</f>
        <v/>
      </c>
      <c r="K26">
        <f>K25*Assumptions!$C$30</f>
        <v/>
      </c>
      <c r="L26">
        <f>L25*Assumptions!$C$30</f>
        <v/>
      </c>
      <c r="M26">
        <f>M25*Assumptions!$C$30</f>
        <v/>
      </c>
      <c r="N26">
        <f>N25*Assumptions!$C$30</f>
        <v/>
      </c>
      <c r="O26">
        <f>O25*Assumptions!$C$30</f>
        <v/>
      </c>
      <c r="P26">
        <f>P25*Assumptions!$C$30</f>
        <v/>
      </c>
      <c r="Q26">
        <f>Q25*Assumptions!$C$30</f>
        <v/>
      </c>
      <c r="R26">
        <f>R25*Assumptions!$C$30</f>
        <v/>
      </c>
      <c r="S26">
        <f>S25*Assumptions!$C$30</f>
        <v/>
      </c>
      <c r="T26">
        <f>T25*Assumptions!$C$30</f>
        <v/>
      </c>
      <c r="U26">
        <f>U25*Assumptions!$C$30</f>
        <v/>
      </c>
      <c r="V26">
        <f>V25*Assumptions!$C$30</f>
        <v/>
      </c>
      <c r="W26">
        <f>W25*Assumptions!$C$30</f>
        <v/>
      </c>
      <c r="X26">
        <f>X25*Assumptions!$C$30</f>
        <v/>
      </c>
      <c r="Y26">
        <f>Y25*Assumptions!$C$30</f>
        <v/>
      </c>
      <c r="Z26">
        <f>Z25*Assumptions!$C$30</f>
        <v/>
      </c>
      <c r="AA26">
        <f>AA25*Assumptions!$C$30</f>
        <v/>
      </c>
      <c r="AB26">
        <f>AB25*Assumptions!$C$30</f>
        <v/>
      </c>
      <c r="AC26">
        <f>AC25*Assumptions!$C$30</f>
        <v/>
      </c>
      <c r="AD26">
        <f>AD25*Assumptions!$C$30</f>
        <v/>
      </c>
      <c r="AE26">
        <f>AE25*Assumptions!$C$30</f>
        <v/>
      </c>
      <c r="AF26">
        <f>AF25*Assumptions!$C$30</f>
        <v/>
      </c>
      <c r="AG26">
        <f>AG25*Assumptions!$C$30</f>
        <v/>
      </c>
      <c r="AH26">
        <f>AH25*Assumptions!$C$30</f>
        <v/>
      </c>
      <c r="AI26">
        <f>AI25*Assumptions!$C$30</f>
        <v/>
      </c>
      <c r="AJ26">
        <f>AJ25*Assumptions!$C$30</f>
        <v/>
      </c>
      <c r="AK26">
        <f>AK25*Assumptions!$C$30</f>
        <v/>
      </c>
      <c r="AL26">
        <f>AL25*Assumptions!$C$30</f>
        <v/>
      </c>
      <c r="AM26">
        <f>AM25*Assumptions!$C$30</f>
        <v/>
      </c>
      <c r="AN26">
        <f>AN25*Assumptions!$C$30</f>
        <v/>
      </c>
      <c r="AO26">
        <f>AO25*Assumptions!$C$30</f>
        <v/>
      </c>
      <c r="AP26">
        <f>AP25*Assumptions!$C$30</f>
        <v/>
      </c>
      <c r="AQ26">
        <f>AQ25*Assumptions!$C$30</f>
        <v/>
      </c>
      <c r="AR26">
        <f>AR25*Assumptions!$C$30</f>
        <v/>
      </c>
      <c r="AS26">
        <f>AS25*Assumptions!$C$30</f>
        <v/>
      </c>
      <c r="AT26">
        <f>AT25*Assumptions!$C$30</f>
        <v/>
      </c>
      <c r="AU26">
        <f>AU25*Assumptions!$C$30</f>
        <v/>
      </c>
      <c r="AV26">
        <f>AV25*Assumptions!$C$30</f>
        <v/>
      </c>
      <c r="AW26">
        <f>AW25*Assumptions!$C$30</f>
        <v/>
      </c>
      <c r="AX26">
        <f>AX25*Assumptions!$C$30</f>
        <v/>
      </c>
      <c r="AY26">
        <f>AY25*Assumptions!$C$30</f>
        <v/>
      </c>
      <c r="AZ26">
        <f>AZ25*Assumptions!$C$30</f>
        <v/>
      </c>
      <c r="BA26">
        <f>BA25*Assumptions!$C$30</f>
        <v/>
      </c>
      <c r="BB26">
        <f>BB25*Assumptions!$C$30</f>
        <v/>
      </c>
      <c r="BC26">
        <f>BC25*Assumptions!$C$30</f>
        <v/>
      </c>
      <c r="BD26">
        <f>BD25*Assumptions!$C$30</f>
        <v/>
      </c>
      <c r="BE26">
        <f>BE25*Assumptions!$C$30</f>
        <v/>
      </c>
      <c r="BF26">
        <f>BF25*Assumptions!$C$30</f>
        <v/>
      </c>
      <c r="BG26">
        <f>BG25*Assumptions!$C$30</f>
        <v/>
      </c>
      <c r="BH26">
        <f>BH25*Assumptions!$C$30</f>
        <v/>
      </c>
      <c r="BI26">
        <f>BI25*Assumptions!$C$30</f>
        <v/>
      </c>
      <c r="BJ26">
        <f>BJ25*Assumptions!$C$30</f>
        <v/>
      </c>
      <c r="BK26">
        <f>BK25*Assumptions!$C$30</f>
        <v/>
      </c>
      <c r="BL26">
        <f>BL25*Assumptions!$C$30</f>
        <v/>
      </c>
      <c r="BM26">
        <f>BM25*Assumptions!$C$30</f>
        <v/>
      </c>
      <c r="BN26">
        <f>BN25*Assumptions!$C$30</f>
        <v/>
      </c>
      <c r="BO26">
        <f>BO25*Assumptions!$C$30</f>
        <v/>
      </c>
      <c r="BP26">
        <f>BP25*Assumptions!$C$30</f>
        <v/>
      </c>
      <c r="BQ26">
        <f>BQ25*Assumptions!$C$30</f>
        <v/>
      </c>
      <c r="BR26">
        <f>BR25*Assumptions!$C$30</f>
        <v/>
      </c>
      <c r="BS26">
        <f>BS25*Assumptions!$C$30</f>
        <v/>
      </c>
      <c r="BT26">
        <f>BT25*Assumptions!$C$30</f>
        <v/>
      </c>
      <c r="BU26">
        <f>BU25*Assumptions!$C$30</f>
        <v/>
      </c>
      <c r="BV26">
        <f>BV25*Assumptions!$C$30</f>
        <v/>
      </c>
    </row>
    <row r="28">
      <c r="B28" s="2" t="inlineStr">
        <is>
          <t>MEMO — INSURANCE</t>
        </is>
      </c>
    </row>
    <row r="29">
      <c r="B29" t="inlineStr">
        <is>
          <t>Insured swings</t>
        </is>
      </c>
      <c r="C29">
        <f>C20*Assumptions!$C$28*Assumptions!$C$24</f>
        <v/>
      </c>
      <c r="D29">
        <f>D20*Assumptions!$C$28*Assumptions!$C$24</f>
        <v/>
      </c>
      <c r="E29">
        <f>E20*Assumptions!$C$28*Assumptions!$C$24</f>
        <v/>
      </c>
      <c r="F29">
        <f>F20*Assumptions!$C$28*Assumptions!$C$24</f>
        <v/>
      </c>
      <c r="G29">
        <f>G20*Assumptions!$C$28*Assumptions!$C$24</f>
        <v/>
      </c>
      <c r="H29">
        <f>H20*Assumptions!$C$28*Assumptions!$C$24</f>
        <v/>
      </c>
      <c r="I29">
        <f>I20*Assumptions!$C$28*Assumptions!$C$24</f>
        <v/>
      </c>
      <c r="J29">
        <f>J20*Assumptions!$C$28*Assumptions!$C$24</f>
        <v/>
      </c>
      <c r="K29">
        <f>K20*Assumptions!$C$28*Assumptions!$C$24</f>
        <v/>
      </c>
      <c r="L29">
        <f>L20*Assumptions!$C$28*Assumptions!$C$24</f>
        <v/>
      </c>
      <c r="M29">
        <f>M20*Assumptions!$C$28*Assumptions!$C$24</f>
        <v/>
      </c>
      <c r="N29">
        <f>N20*Assumptions!$C$28*Assumptions!$C$24</f>
        <v/>
      </c>
      <c r="O29">
        <f>O20*Assumptions!$C$28*Assumptions!$C$24</f>
        <v/>
      </c>
      <c r="P29">
        <f>P20*Assumptions!$C$28*Assumptions!$C$24</f>
        <v/>
      </c>
      <c r="Q29">
        <f>Q20*Assumptions!$C$28*Assumptions!$C$24</f>
        <v/>
      </c>
      <c r="R29">
        <f>R20*Assumptions!$C$28*Assumptions!$C$24</f>
        <v/>
      </c>
      <c r="S29">
        <f>S20*Assumptions!$C$28*Assumptions!$C$24</f>
        <v/>
      </c>
      <c r="T29">
        <f>T20*Assumptions!$C$28*Assumptions!$C$24</f>
        <v/>
      </c>
      <c r="U29">
        <f>U20*Assumptions!$C$28*Assumptions!$C$24</f>
        <v/>
      </c>
      <c r="V29">
        <f>V20*Assumptions!$C$28*Assumptions!$C$24</f>
        <v/>
      </c>
      <c r="W29">
        <f>W20*Assumptions!$C$28*Assumptions!$C$24</f>
        <v/>
      </c>
      <c r="X29">
        <f>X20*Assumptions!$C$28*Assumptions!$C$24</f>
        <v/>
      </c>
      <c r="Y29">
        <f>Y20*Assumptions!$C$28*Assumptions!$C$24</f>
        <v/>
      </c>
      <c r="Z29">
        <f>Z20*Assumptions!$C$28*Assumptions!$C$24</f>
        <v/>
      </c>
      <c r="AA29">
        <f>AA20*Assumptions!$C$28*Assumptions!$C$24</f>
        <v/>
      </c>
      <c r="AB29">
        <f>AB20*Assumptions!$C$28*Assumptions!$C$24</f>
        <v/>
      </c>
      <c r="AC29">
        <f>AC20*Assumptions!$C$28*Assumptions!$C$24</f>
        <v/>
      </c>
      <c r="AD29">
        <f>AD20*Assumptions!$C$28*Assumptions!$C$24</f>
        <v/>
      </c>
      <c r="AE29">
        <f>AE20*Assumptions!$C$28*Assumptions!$C$24</f>
        <v/>
      </c>
      <c r="AF29">
        <f>AF20*Assumptions!$C$28*Assumptions!$C$24</f>
        <v/>
      </c>
      <c r="AG29">
        <f>AG20*Assumptions!$C$28*Assumptions!$C$24</f>
        <v/>
      </c>
      <c r="AH29">
        <f>AH20*Assumptions!$C$28*Assumptions!$C$24</f>
        <v/>
      </c>
      <c r="AI29">
        <f>AI20*Assumptions!$C$28*Assumptions!$C$24</f>
        <v/>
      </c>
      <c r="AJ29">
        <f>AJ20*Assumptions!$C$28*Assumptions!$C$24</f>
        <v/>
      </c>
      <c r="AK29">
        <f>AK20*Assumptions!$C$28*Assumptions!$C$24</f>
        <v/>
      </c>
      <c r="AL29">
        <f>AL20*Assumptions!$C$28*Assumptions!$C$24</f>
        <v/>
      </c>
      <c r="AM29">
        <f>AM20*Assumptions!$C$28*Assumptions!$C$24</f>
        <v/>
      </c>
      <c r="AN29">
        <f>AN20*Assumptions!$C$28*Assumptions!$C$24</f>
        <v/>
      </c>
      <c r="AO29">
        <f>AO20*Assumptions!$C$28*Assumptions!$C$24</f>
        <v/>
      </c>
      <c r="AP29">
        <f>AP20*Assumptions!$C$28*Assumptions!$C$24</f>
        <v/>
      </c>
      <c r="AQ29">
        <f>AQ20*Assumptions!$C$28*Assumptions!$C$24</f>
        <v/>
      </c>
      <c r="AR29">
        <f>AR20*Assumptions!$C$28*Assumptions!$C$24</f>
        <v/>
      </c>
      <c r="AS29">
        <f>AS20*Assumptions!$C$28*Assumptions!$C$24</f>
        <v/>
      </c>
      <c r="AT29">
        <f>AT20*Assumptions!$C$28*Assumptions!$C$24</f>
        <v/>
      </c>
      <c r="AU29">
        <f>AU20*Assumptions!$C$28*Assumptions!$C$24</f>
        <v/>
      </c>
      <c r="AV29">
        <f>AV20*Assumptions!$C$28*Assumptions!$C$24</f>
        <v/>
      </c>
      <c r="AW29">
        <f>AW20*Assumptions!$C$28*Assumptions!$C$24</f>
        <v/>
      </c>
      <c r="AX29">
        <f>AX20*Assumptions!$C$28*Assumptions!$C$24</f>
        <v/>
      </c>
      <c r="AY29">
        <f>AY20*Assumptions!$C$28*Assumptions!$C$24</f>
        <v/>
      </c>
      <c r="AZ29">
        <f>AZ20*Assumptions!$C$28*Assumptions!$C$24</f>
        <v/>
      </c>
      <c r="BA29">
        <f>BA20*Assumptions!$C$28*Assumptions!$C$24</f>
        <v/>
      </c>
      <c r="BB29">
        <f>BB20*Assumptions!$C$28*Assumptions!$C$24</f>
        <v/>
      </c>
      <c r="BC29">
        <f>BC20*Assumptions!$C$28*Assumptions!$C$24</f>
        <v/>
      </c>
      <c r="BD29">
        <f>BD20*Assumptions!$C$28*Assumptions!$C$24</f>
        <v/>
      </c>
      <c r="BE29">
        <f>BE20*Assumptions!$C$28*Assumptions!$C$24</f>
        <v/>
      </c>
      <c r="BF29">
        <f>BF20*Assumptions!$C$28*Assumptions!$C$24</f>
        <v/>
      </c>
      <c r="BG29">
        <f>BG20*Assumptions!$C$28*Assumptions!$C$24</f>
        <v/>
      </c>
      <c r="BH29">
        <f>BH20*Assumptions!$C$28*Assumptions!$C$24</f>
        <v/>
      </c>
      <c r="BI29">
        <f>BI20*Assumptions!$C$28*Assumptions!$C$24</f>
        <v/>
      </c>
      <c r="BJ29">
        <f>BJ20*Assumptions!$C$28*Assumptions!$C$24</f>
        <v/>
      </c>
      <c r="BK29">
        <f>BK20*Assumptions!$C$28*Assumptions!$C$24</f>
        <v/>
      </c>
      <c r="BL29">
        <f>BL20*Assumptions!$C$28*Assumptions!$C$24</f>
        <v/>
      </c>
      <c r="BM29">
        <f>BM20*Assumptions!$C$28*Assumptions!$C$24</f>
        <v/>
      </c>
      <c r="BN29">
        <f>BN20*Assumptions!$C$28*Assumptions!$C$24</f>
        <v/>
      </c>
      <c r="BO29">
        <f>BO20*Assumptions!$C$28*Assumptions!$C$24</f>
        <v/>
      </c>
      <c r="BP29">
        <f>BP20*Assumptions!$C$28*Assumptions!$C$24</f>
        <v/>
      </c>
      <c r="BQ29">
        <f>BQ20*Assumptions!$C$28*Assumptions!$C$24</f>
        <v/>
      </c>
      <c r="BR29">
        <f>BR20*Assumptions!$C$28*Assumptions!$C$24</f>
        <v/>
      </c>
      <c r="BS29">
        <f>BS20*Assumptions!$C$28*Assumptions!$C$24</f>
        <v/>
      </c>
      <c r="BT29">
        <f>BT20*Assumptions!$C$28*Assumptions!$C$24</f>
        <v/>
      </c>
      <c r="BU29">
        <f>BU20*Assumptions!$C$28*Assumptions!$C$24</f>
        <v/>
      </c>
      <c r="BV29">
        <f>BV20*Assumptions!$C$28*Assumptions!$C$24</f>
        <v/>
      </c>
    </row>
    <row r="30">
      <c r="B30" t="inlineStr">
        <is>
          <t>Premium ceded ($)</t>
        </is>
      </c>
      <c r="C30">
        <f>C25*Assumptions!$C$31</f>
        <v/>
      </c>
      <c r="D30">
        <f>D25*Assumptions!$C$31</f>
        <v/>
      </c>
      <c r="E30">
        <f>E25*Assumptions!$C$31</f>
        <v/>
      </c>
      <c r="F30">
        <f>F25*Assumptions!$C$31</f>
        <v/>
      </c>
      <c r="G30">
        <f>G25*Assumptions!$C$31</f>
        <v/>
      </c>
      <c r="H30">
        <f>H25*Assumptions!$C$31</f>
        <v/>
      </c>
      <c r="I30">
        <f>I25*Assumptions!$C$31</f>
        <v/>
      </c>
      <c r="J30">
        <f>J25*Assumptions!$C$31</f>
        <v/>
      </c>
      <c r="K30">
        <f>K25*Assumptions!$C$31</f>
        <v/>
      </c>
      <c r="L30">
        <f>L25*Assumptions!$C$31</f>
        <v/>
      </c>
      <c r="M30">
        <f>M25*Assumptions!$C$31</f>
        <v/>
      </c>
      <c r="N30">
        <f>N25*Assumptions!$C$31</f>
        <v/>
      </c>
      <c r="O30">
        <f>O25*Assumptions!$C$31</f>
        <v/>
      </c>
      <c r="P30">
        <f>P25*Assumptions!$C$31</f>
        <v/>
      </c>
      <c r="Q30">
        <f>Q25*Assumptions!$C$31</f>
        <v/>
      </c>
      <c r="R30">
        <f>R25*Assumptions!$C$31</f>
        <v/>
      </c>
      <c r="S30">
        <f>S25*Assumptions!$C$31</f>
        <v/>
      </c>
      <c r="T30">
        <f>T25*Assumptions!$C$31</f>
        <v/>
      </c>
      <c r="U30">
        <f>U25*Assumptions!$C$31</f>
        <v/>
      </c>
      <c r="V30">
        <f>V25*Assumptions!$C$31</f>
        <v/>
      </c>
      <c r="W30">
        <f>W25*Assumptions!$C$31</f>
        <v/>
      </c>
      <c r="X30">
        <f>X25*Assumptions!$C$31</f>
        <v/>
      </c>
      <c r="Y30">
        <f>Y25*Assumptions!$C$31</f>
        <v/>
      </c>
      <c r="Z30">
        <f>Z25*Assumptions!$C$31</f>
        <v/>
      </c>
      <c r="AA30">
        <f>AA25*Assumptions!$C$31</f>
        <v/>
      </c>
      <c r="AB30">
        <f>AB25*Assumptions!$C$31</f>
        <v/>
      </c>
      <c r="AC30">
        <f>AC25*Assumptions!$C$31</f>
        <v/>
      </c>
      <c r="AD30">
        <f>AD25*Assumptions!$C$31</f>
        <v/>
      </c>
      <c r="AE30">
        <f>AE25*Assumptions!$C$31</f>
        <v/>
      </c>
      <c r="AF30">
        <f>AF25*Assumptions!$C$31</f>
        <v/>
      </c>
      <c r="AG30">
        <f>AG25*Assumptions!$C$31</f>
        <v/>
      </c>
      <c r="AH30">
        <f>AH25*Assumptions!$C$31</f>
        <v/>
      </c>
      <c r="AI30">
        <f>AI25*Assumptions!$C$31</f>
        <v/>
      </c>
      <c r="AJ30">
        <f>AJ25*Assumptions!$C$31</f>
        <v/>
      </c>
      <c r="AK30">
        <f>AK25*Assumptions!$C$31</f>
        <v/>
      </c>
      <c r="AL30">
        <f>AL25*Assumptions!$C$31</f>
        <v/>
      </c>
      <c r="AM30">
        <f>AM25*Assumptions!$C$31</f>
        <v/>
      </c>
      <c r="AN30">
        <f>AN25*Assumptions!$C$31</f>
        <v/>
      </c>
      <c r="AO30">
        <f>AO25*Assumptions!$C$31</f>
        <v/>
      </c>
      <c r="AP30">
        <f>AP25*Assumptions!$C$31</f>
        <v/>
      </c>
      <c r="AQ30">
        <f>AQ25*Assumptions!$C$31</f>
        <v/>
      </c>
      <c r="AR30">
        <f>AR25*Assumptions!$C$31</f>
        <v/>
      </c>
      <c r="AS30">
        <f>AS25*Assumptions!$C$31</f>
        <v/>
      </c>
      <c r="AT30">
        <f>AT25*Assumptions!$C$31</f>
        <v/>
      </c>
      <c r="AU30">
        <f>AU25*Assumptions!$C$31</f>
        <v/>
      </c>
      <c r="AV30">
        <f>AV25*Assumptions!$C$31</f>
        <v/>
      </c>
      <c r="AW30">
        <f>AW25*Assumptions!$C$31</f>
        <v/>
      </c>
      <c r="AX30">
        <f>AX25*Assumptions!$C$31</f>
        <v/>
      </c>
      <c r="AY30">
        <f>AY25*Assumptions!$C$31</f>
        <v/>
      </c>
      <c r="AZ30">
        <f>AZ25*Assumptions!$C$31</f>
        <v/>
      </c>
      <c r="BA30">
        <f>BA25*Assumptions!$C$31</f>
        <v/>
      </c>
      <c r="BB30">
        <f>BB25*Assumptions!$C$31</f>
        <v/>
      </c>
      <c r="BC30">
        <f>BC25*Assumptions!$C$31</f>
        <v/>
      </c>
      <c r="BD30">
        <f>BD25*Assumptions!$C$31</f>
        <v/>
      </c>
      <c r="BE30">
        <f>BE25*Assumptions!$C$31</f>
        <v/>
      </c>
      <c r="BF30">
        <f>BF25*Assumptions!$C$31</f>
        <v/>
      </c>
      <c r="BG30">
        <f>BG25*Assumptions!$C$31</f>
        <v/>
      </c>
      <c r="BH30">
        <f>BH25*Assumptions!$C$31</f>
        <v/>
      </c>
      <c r="BI30">
        <f>BI25*Assumptions!$C$31</f>
        <v/>
      </c>
      <c r="BJ30">
        <f>BJ25*Assumptions!$C$31</f>
        <v/>
      </c>
      <c r="BK30">
        <f>BK25*Assumptions!$C$31</f>
        <v/>
      </c>
      <c r="BL30">
        <f>BL25*Assumptions!$C$31</f>
        <v/>
      </c>
      <c r="BM30">
        <f>BM25*Assumptions!$C$31</f>
        <v/>
      </c>
      <c r="BN30">
        <f>BN25*Assumptions!$C$31</f>
        <v/>
      </c>
      <c r="BO30">
        <f>BO25*Assumptions!$C$31</f>
        <v/>
      </c>
      <c r="BP30">
        <f>BP25*Assumptions!$C$31</f>
        <v/>
      </c>
      <c r="BQ30">
        <f>BQ25*Assumptions!$C$31</f>
        <v/>
      </c>
      <c r="BR30">
        <f>BR25*Assumptions!$C$31</f>
        <v/>
      </c>
      <c r="BS30">
        <f>BS25*Assumptions!$C$31</f>
        <v/>
      </c>
      <c r="BT30">
        <f>BT25*Assumptions!$C$31</f>
        <v/>
      </c>
      <c r="BU30">
        <f>BU25*Assumptions!$C$31</f>
        <v/>
      </c>
      <c r="BV30">
        <f>BV25*Assumptions!$C$31</f>
        <v/>
      </c>
    </row>
    <row r="31">
      <c r="B31" t="inlineStr">
        <is>
          <t>Expected claims ($)</t>
        </is>
      </c>
      <c r="C31">
        <f>C30*Assumptions!$C$32</f>
        <v/>
      </c>
      <c r="D31">
        <f>D30*Assumptions!$C$32</f>
        <v/>
      </c>
      <c r="E31">
        <f>E30*Assumptions!$C$32</f>
        <v/>
      </c>
      <c r="F31">
        <f>F30*Assumptions!$C$32</f>
        <v/>
      </c>
      <c r="G31">
        <f>G30*Assumptions!$C$32</f>
        <v/>
      </c>
      <c r="H31">
        <f>H30*Assumptions!$C$32</f>
        <v/>
      </c>
      <c r="I31">
        <f>I30*Assumptions!$C$32</f>
        <v/>
      </c>
      <c r="J31">
        <f>J30*Assumptions!$C$32</f>
        <v/>
      </c>
      <c r="K31">
        <f>K30*Assumptions!$C$32</f>
        <v/>
      </c>
      <c r="L31">
        <f>L30*Assumptions!$C$32</f>
        <v/>
      </c>
      <c r="M31">
        <f>M30*Assumptions!$C$32</f>
        <v/>
      </c>
      <c r="N31">
        <f>N30*Assumptions!$C$32</f>
        <v/>
      </c>
      <c r="O31">
        <f>O30*Assumptions!$C$32</f>
        <v/>
      </c>
      <c r="P31">
        <f>P30*Assumptions!$C$32</f>
        <v/>
      </c>
      <c r="Q31">
        <f>Q30*Assumptions!$C$32</f>
        <v/>
      </c>
      <c r="R31">
        <f>R30*Assumptions!$C$32</f>
        <v/>
      </c>
      <c r="S31">
        <f>S30*Assumptions!$C$32</f>
        <v/>
      </c>
      <c r="T31">
        <f>T30*Assumptions!$C$32</f>
        <v/>
      </c>
      <c r="U31">
        <f>U30*Assumptions!$C$32</f>
        <v/>
      </c>
      <c r="V31">
        <f>V30*Assumptions!$C$32</f>
        <v/>
      </c>
      <c r="W31">
        <f>W30*Assumptions!$C$32</f>
        <v/>
      </c>
      <c r="X31">
        <f>X30*Assumptions!$C$32</f>
        <v/>
      </c>
      <c r="Y31">
        <f>Y30*Assumptions!$C$32</f>
        <v/>
      </c>
      <c r="Z31">
        <f>Z30*Assumptions!$C$32</f>
        <v/>
      </c>
      <c r="AA31">
        <f>AA30*Assumptions!$C$32</f>
        <v/>
      </c>
      <c r="AB31">
        <f>AB30*Assumptions!$C$32</f>
        <v/>
      </c>
      <c r="AC31">
        <f>AC30*Assumptions!$C$32</f>
        <v/>
      </c>
      <c r="AD31">
        <f>AD30*Assumptions!$C$32</f>
        <v/>
      </c>
      <c r="AE31">
        <f>AE30*Assumptions!$C$32</f>
        <v/>
      </c>
      <c r="AF31">
        <f>AF30*Assumptions!$C$32</f>
        <v/>
      </c>
      <c r="AG31">
        <f>AG30*Assumptions!$C$32</f>
        <v/>
      </c>
      <c r="AH31">
        <f>AH30*Assumptions!$C$32</f>
        <v/>
      </c>
      <c r="AI31">
        <f>AI30*Assumptions!$C$32</f>
        <v/>
      </c>
      <c r="AJ31">
        <f>AJ30*Assumptions!$C$32</f>
        <v/>
      </c>
      <c r="AK31">
        <f>AK30*Assumptions!$C$32</f>
        <v/>
      </c>
      <c r="AL31">
        <f>AL30*Assumptions!$C$32</f>
        <v/>
      </c>
      <c r="AM31">
        <f>AM30*Assumptions!$C$32</f>
        <v/>
      </c>
      <c r="AN31">
        <f>AN30*Assumptions!$C$32</f>
        <v/>
      </c>
      <c r="AO31">
        <f>AO30*Assumptions!$C$32</f>
        <v/>
      </c>
      <c r="AP31">
        <f>AP30*Assumptions!$C$32</f>
        <v/>
      </c>
      <c r="AQ31">
        <f>AQ30*Assumptions!$C$32</f>
        <v/>
      </c>
      <c r="AR31">
        <f>AR30*Assumptions!$C$32</f>
        <v/>
      </c>
      <c r="AS31">
        <f>AS30*Assumptions!$C$32</f>
        <v/>
      </c>
      <c r="AT31">
        <f>AT30*Assumptions!$C$32</f>
        <v/>
      </c>
      <c r="AU31">
        <f>AU30*Assumptions!$C$32</f>
        <v/>
      </c>
      <c r="AV31">
        <f>AV30*Assumptions!$C$32</f>
        <v/>
      </c>
      <c r="AW31">
        <f>AW30*Assumptions!$C$32</f>
        <v/>
      </c>
      <c r="AX31">
        <f>AX30*Assumptions!$C$32</f>
        <v/>
      </c>
      <c r="AY31">
        <f>AY30*Assumptions!$C$32</f>
        <v/>
      </c>
      <c r="AZ31">
        <f>AZ30*Assumptions!$C$32</f>
        <v/>
      </c>
      <c r="BA31">
        <f>BA30*Assumptions!$C$32</f>
        <v/>
      </c>
      <c r="BB31">
        <f>BB30*Assumptions!$C$32</f>
        <v/>
      </c>
      <c r="BC31">
        <f>BC30*Assumptions!$C$32</f>
        <v/>
      </c>
      <c r="BD31">
        <f>BD30*Assumptions!$C$32</f>
        <v/>
      </c>
      <c r="BE31">
        <f>BE30*Assumptions!$C$32</f>
        <v/>
      </c>
      <c r="BF31">
        <f>BF30*Assumptions!$C$32</f>
        <v/>
      </c>
      <c r="BG31">
        <f>BG30*Assumptions!$C$32</f>
        <v/>
      </c>
      <c r="BH31">
        <f>BH30*Assumptions!$C$32</f>
        <v/>
      </c>
      <c r="BI31">
        <f>BI30*Assumptions!$C$32</f>
        <v/>
      </c>
      <c r="BJ31">
        <f>BJ30*Assumptions!$C$32</f>
        <v/>
      </c>
      <c r="BK31">
        <f>BK30*Assumptions!$C$32</f>
        <v/>
      </c>
      <c r="BL31">
        <f>BL30*Assumptions!$C$32</f>
        <v/>
      </c>
      <c r="BM31">
        <f>BM30*Assumptions!$C$32</f>
        <v/>
      </c>
      <c r="BN31">
        <f>BN30*Assumptions!$C$32</f>
        <v/>
      </c>
      <c r="BO31">
        <f>BO30*Assumptions!$C$32</f>
        <v/>
      </c>
      <c r="BP31">
        <f>BP30*Assumptions!$C$32</f>
        <v/>
      </c>
      <c r="BQ31">
        <f>BQ30*Assumptions!$C$32</f>
        <v/>
      </c>
      <c r="BR31">
        <f>BR30*Assumptions!$C$32</f>
        <v/>
      </c>
      <c r="BS31">
        <f>BS30*Assumptions!$C$32</f>
        <v/>
      </c>
      <c r="BT31">
        <f>BT30*Assumptions!$C$32</f>
        <v/>
      </c>
      <c r="BU31">
        <f>BU30*Assumptions!$C$32</f>
        <v/>
      </c>
      <c r="BV31">
        <f>BV30*Assumptions!$C$32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38"/>
  <sheetViews>
    <sheetView workbookViewId="0">
      <selection activeCell="A1" sqref="A1"/>
    </sheetView>
  </sheetViews>
  <sheetFormatPr baseColWidth="8" defaultRowHeight="15"/>
  <cols>
    <col width="48" customWidth="1" min="2" max="2"/>
  </cols>
  <sheetData>
    <row r="2">
      <c r="B2" s="1" t="inlineStr">
        <is>
          <t>ANNUAL ROLL-UP (ZAR)</t>
        </is>
      </c>
    </row>
    <row r="3">
      <c r="B3" t="inlineStr">
        <is>
          <t>Calendar-year totals from the monthly build.</t>
        </is>
      </c>
    </row>
    <row r="5">
      <c r="C5" s="2" t="n">
        <v>2027</v>
      </c>
      <c r="D5" s="2" t="n">
        <v>2028</v>
      </c>
      <c r="E5" s="2" t="n">
        <v>2029</v>
      </c>
      <c r="F5" s="2" t="n">
        <v>2030</v>
      </c>
      <c r="G5" s="2" t="n">
        <v>2031</v>
      </c>
      <c r="H5" s="2" t="n">
        <v>2032</v>
      </c>
    </row>
    <row r="6">
      <c r="B6" t="inlineStr">
        <is>
          <t>Subscribers (closing)</t>
        </is>
      </c>
      <c r="C6">
        <f>'Build (Monthly)'!N15</f>
        <v/>
      </c>
      <c r="D6">
        <f>'Build (Monthly)'!Z15</f>
        <v/>
      </c>
      <c r="E6">
        <f>'Build (Monthly)'!AL15</f>
        <v/>
      </c>
      <c r="F6">
        <f>'Build (Monthly)'!AX15</f>
        <v/>
      </c>
      <c r="G6">
        <f>'Build (Monthly)'!BJ15</f>
        <v/>
      </c>
      <c r="H6">
        <f>'Build (Monthly)'!BV15</f>
        <v/>
      </c>
    </row>
    <row r="7">
      <c r="B7" t="inlineStr">
        <is>
          <t>Active players (closing)</t>
        </is>
      </c>
      <c r="C7">
        <f>C6*Assumptions!$C$22</f>
        <v/>
      </c>
      <c r="D7">
        <f>D6*Assumptions!$C$22</f>
        <v/>
      </c>
      <c r="E7">
        <f>E6*Assumptions!$C$22</f>
        <v/>
      </c>
      <c r="F7">
        <f>F6*Assumptions!$C$22</f>
        <v/>
      </c>
      <c r="G7">
        <f>G6*Assumptions!$C$22</f>
        <v/>
      </c>
      <c r="H7">
        <f>H6*Assumptions!$C$22</f>
        <v/>
      </c>
    </row>
    <row r="8">
      <c r="B8" t="inlineStr">
        <is>
          <t>Money slips</t>
        </is>
      </c>
      <c r="C8">
        <f>SUMIF('Build (Monthly)'!$C$6:$BV$6,C$5,'Build (Monthly)'!$C$20:$BV$20)</f>
        <v/>
      </c>
      <c r="D8">
        <f>SUMIF('Build (Monthly)'!$C$6:$BV$6,D$5,'Build (Monthly)'!$C$20:$BV$20)</f>
        <v/>
      </c>
      <c r="E8">
        <f>SUMIF('Build (Monthly)'!$C$6:$BV$6,E$5,'Build (Monthly)'!$C$20:$BV$20)</f>
        <v/>
      </c>
      <c r="F8">
        <f>SUMIF('Build (Monthly)'!$C$6:$BV$6,F$5,'Build (Monthly)'!$C$20:$BV$20)</f>
        <v/>
      </c>
      <c r="G8">
        <f>SUMIF('Build (Monthly)'!$C$6:$BV$6,G$5,'Build (Monthly)'!$C$20:$BV$20)</f>
        <v/>
      </c>
      <c r="H8">
        <f>SUMIF('Build (Monthly)'!$C$6:$BV$6,H$5,'Build (Monthly)'!$C$20:$BV$20)</f>
        <v/>
      </c>
    </row>
    <row r="9">
      <c r="B9" t="inlineStr">
        <is>
          <t>Peer GMV ($) — revenue ZERO</t>
        </is>
      </c>
      <c r="C9">
        <f>SUMIF('Build (Monthly)'!$C$6:$BV$6,C$5,'Build (Monthly)'!$C$21:$BV$21)</f>
        <v/>
      </c>
      <c r="D9">
        <f>SUMIF('Build (Monthly)'!$C$6:$BV$6,D$5,'Build (Monthly)'!$C$21:$BV$21)</f>
        <v/>
      </c>
      <c r="E9">
        <f>SUMIF('Build (Monthly)'!$C$6:$BV$6,E$5,'Build (Monthly)'!$C$21:$BV$21)</f>
        <v/>
      </c>
      <c r="F9">
        <f>SUMIF('Build (Monthly)'!$C$6:$BV$6,F$5,'Build (Monthly)'!$C$21:$BV$21)</f>
        <v/>
      </c>
      <c r="G9">
        <f>SUMIF('Build (Monthly)'!$C$6:$BV$6,G$5,'Build (Monthly)'!$C$21:$BV$21)</f>
        <v/>
      </c>
      <c r="H9">
        <f>SUMIF('Build (Monthly)'!$C$6:$BV$6,H$5,'Build (Monthly)'!$C$21:$BV$21)</f>
        <v/>
      </c>
    </row>
    <row r="11">
      <c r="B11" s="2" t="inlineStr">
        <is>
          <t>REVENUE</t>
        </is>
      </c>
    </row>
    <row r="12">
      <c r="B12" t="inlineStr">
        <is>
          <t>Subscriptions</t>
        </is>
      </c>
      <c r="C12">
        <f>SUMIF('Build (Monthly)'!$C$6:$BV$6,C$5,'Build (Monthly)'!$C$24:$BV$24)*Assumptions!$C$6</f>
        <v/>
      </c>
      <c r="D12">
        <f>SUMIF('Build (Monthly)'!$C$6:$BV$6,D$5,'Build (Monthly)'!$C$24:$BV$24)*Assumptions!$C$6</f>
        <v/>
      </c>
      <c r="E12">
        <f>SUMIF('Build (Monthly)'!$C$6:$BV$6,E$5,'Build (Monthly)'!$C$24:$BV$24)*Assumptions!$C$6</f>
        <v/>
      </c>
      <c r="F12">
        <f>SUMIF('Build (Monthly)'!$C$6:$BV$6,F$5,'Build (Monthly)'!$C$24:$BV$24)*Assumptions!$C$6</f>
        <v/>
      </c>
      <c r="G12">
        <f>SUMIF('Build (Monthly)'!$C$6:$BV$6,G$5,'Build (Monthly)'!$C$24:$BV$24)*Assumptions!$C$6</f>
        <v/>
      </c>
      <c r="H12">
        <f>SUMIF('Build (Monthly)'!$C$6:$BV$6,H$5,'Build (Monthly)'!$C$24:$BV$24)*Assumptions!$C$6</f>
        <v/>
      </c>
    </row>
    <row r="13">
      <c r="B13" t="inlineStr">
        <is>
          <t>Insured jackpot (net)</t>
        </is>
      </c>
      <c r="C13">
        <f>SUMIF('Build (Monthly)'!$C$6:$BV$6,C$5,'Build (Monthly)'!$C$26:$BV$26)*Assumptions!$C$6</f>
        <v/>
      </c>
      <c r="D13">
        <f>SUMIF('Build (Monthly)'!$C$6:$BV$6,D$5,'Build (Monthly)'!$C$26:$BV$26)*Assumptions!$C$6</f>
        <v/>
      </c>
      <c r="E13">
        <f>SUMIF('Build (Monthly)'!$C$6:$BV$6,E$5,'Build (Monthly)'!$C$26:$BV$26)*Assumptions!$C$6</f>
        <v/>
      </c>
      <c r="F13">
        <f>SUMIF('Build (Monthly)'!$C$6:$BV$6,F$5,'Build (Monthly)'!$C$26:$BV$26)*Assumptions!$C$6</f>
        <v/>
      </c>
      <c r="G13">
        <f>SUMIF('Build (Monthly)'!$C$6:$BV$6,G$5,'Build (Monthly)'!$C$26:$BV$26)*Assumptions!$C$6</f>
        <v/>
      </c>
      <c r="H13">
        <f>SUMIF('Build (Monthly)'!$C$6:$BV$6,H$5,'Build (Monthly)'!$C$26:$BV$26)*Assumptions!$C$6</f>
        <v/>
      </c>
    </row>
    <row r="14">
      <c r="B14" t="inlineStr">
        <is>
          <t>Installed courses (net 66%)</t>
        </is>
      </c>
      <c r="C14">
        <f>37.5*Assumptions!$C$37*Assumptions!$C$38*Assumptions!$C$39</f>
        <v/>
      </c>
      <c r="D14">
        <f>62.5*Assumptions!$C$37*Assumptions!$C$38*Assumptions!$C$39</f>
        <v/>
      </c>
      <c r="E14">
        <f>87.5*Assumptions!$C$37*Assumptions!$C$38*Assumptions!$C$39</f>
        <v/>
      </c>
      <c r="F14">
        <f>112.5*Assumptions!$C$37*Assumptions!$C$38*Assumptions!$C$39</f>
        <v/>
      </c>
      <c r="G14">
        <f>137.5*Assumptions!$C$37*Assumptions!$C$38*Assumptions!$C$39</f>
        <v/>
      </c>
      <c r="H14">
        <f>162.5*Assumptions!$C$37*Assumptions!$C$38*Assumptions!$C$39</f>
        <v/>
      </c>
    </row>
    <row r="15">
      <c r="B15" t="inlineStr">
        <is>
          <t>Simulators</t>
        </is>
      </c>
      <c r="C15" t="n">
        <v>2399820</v>
      </c>
      <c r="D15" t="n">
        <v>6399520</v>
      </c>
      <c r="E15" t="n">
        <v>11999100</v>
      </c>
      <c r="F15" t="n">
        <v>16663000</v>
      </c>
      <c r="G15" t="n">
        <v>23142000</v>
      </c>
      <c r="H15" t="n">
        <v>31997600</v>
      </c>
    </row>
    <row r="16">
      <c r="B16" t="inlineStr">
        <is>
          <t>Sponsorship</t>
        </is>
      </c>
      <c r="C16" t="n">
        <v>3000000</v>
      </c>
      <c r="D16" t="n">
        <v>3500000</v>
      </c>
      <c r="E16" t="n">
        <v>5500000</v>
      </c>
      <c r="F16" t="n">
        <v>8500000</v>
      </c>
      <c r="G16" t="n">
        <v>10500000</v>
      </c>
      <c r="H16" t="n">
        <v>12500000</v>
      </c>
    </row>
    <row r="17">
      <c r="B17" s="2" t="inlineStr">
        <is>
          <t>TOTAL REVENUE</t>
        </is>
      </c>
      <c r="C17">
        <f>SUM(C12:C16)</f>
        <v/>
      </c>
      <c r="D17">
        <f>SUM(D12:D16)</f>
        <v/>
      </c>
      <c r="E17">
        <f>SUM(E12:E16)</f>
        <v/>
      </c>
      <c r="F17">
        <f>SUM(F12:F16)</f>
        <v/>
      </c>
      <c r="G17">
        <f>SUM(G12:G16)</f>
        <v/>
      </c>
      <c r="H17">
        <f>SUM(H12:H16)</f>
        <v/>
      </c>
    </row>
    <row r="19">
      <c r="B19" s="2" t="inlineStr">
        <is>
          <t>COSTS</t>
        </is>
      </c>
    </row>
    <row r="20">
      <c r="B20" t="inlineStr">
        <is>
          <t>Payment processing</t>
        </is>
      </c>
      <c r="C20">
        <f>((SUMIF('Build (Monthly)'!$C$6:$BV$6,C$5,'Build (Monthly)'!$C$24:$BV$24)+SUMIF('Build (Monthly)'!$C$6:$BV$6,C$5,'Build (Monthly)'!$C$25:$BV$25))*Assumptions!$C$6+37.5*Assumptions!$C$37*Assumptions!$C$38)*Assumptions!$C$42</f>
        <v/>
      </c>
      <c r="D20">
        <f>((SUMIF('Build (Monthly)'!$C$6:$BV$6,D$5,'Build (Monthly)'!$C$24:$BV$24)+SUMIF('Build (Monthly)'!$C$6:$BV$6,D$5,'Build (Monthly)'!$C$25:$BV$25))*Assumptions!$C$6+62.5*Assumptions!$C$37*Assumptions!$C$38)*Assumptions!$C$42</f>
        <v/>
      </c>
      <c r="E20">
        <f>((SUMIF('Build (Monthly)'!$C$6:$BV$6,E$5,'Build (Monthly)'!$C$24:$BV$24)+SUMIF('Build (Monthly)'!$C$6:$BV$6,E$5,'Build (Monthly)'!$C$25:$BV$25))*Assumptions!$C$6+87.5*Assumptions!$C$37*Assumptions!$C$38)*Assumptions!$C$42</f>
        <v/>
      </c>
      <c r="F20">
        <f>((SUMIF('Build (Monthly)'!$C$6:$BV$6,F$5,'Build (Monthly)'!$C$24:$BV$24)+SUMIF('Build (Monthly)'!$C$6:$BV$6,F$5,'Build (Monthly)'!$C$25:$BV$25))*Assumptions!$C$6+112.5*Assumptions!$C$37*Assumptions!$C$38)*Assumptions!$C$42</f>
        <v/>
      </c>
      <c r="G20">
        <f>((SUMIF('Build (Monthly)'!$C$6:$BV$6,G$5,'Build (Monthly)'!$C$24:$BV$24)+SUMIF('Build (Monthly)'!$C$6:$BV$6,G$5,'Build (Monthly)'!$C$25:$BV$25))*Assumptions!$C$6+137.5*Assumptions!$C$37*Assumptions!$C$38)*Assumptions!$C$42</f>
        <v/>
      </c>
      <c r="H20">
        <f>((SUMIF('Build (Monthly)'!$C$6:$BV$6,H$5,'Build (Monthly)'!$C$24:$BV$24)+SUMIF('Build (Monthly)'!$C$6:$BV$6,H$5,'Build (Monthly)'!$C$25:$BV$25))*Assumptions!$C$6+162.5*Assumptions!$C$37*Assumptions!$C$38)*Assumptions!$C$42</f>
        <v/>
      </c>
    </row>
    <row r="21">
      <c r="B21" t="inlineStr">
        <is>
          <t>Verification &amp; claims (insured swings only)</t>
        </is>
      </c>
      <c r="C21">
        <f>(SUMIF('Build (Monthly)'!$C$6:$BV$6,C$5,'Build (Monthly)'!$C$29:$BV$29)+37.5*Assumptions!$C$37)*Assumptions!$C$43*Assumptions!$C$6</f>
        <v/>
      </c>
      <c r="D21">
        <f>(SUMIF('Build (Monthly)'!$C$6:$BV$6,D$5,'Build (Monthly)'!$C$29:$BV$29)+62.5*Assumptions!$C$37)*Assumptions!$C$43*Assumptions!$C$6</f>
        <v/>
      </c>
      <c r="E21">
        <f>(SUMIF('Build (Monthly)'!$C$6:$BV$6,E$5,'Build (Monthly)'!$C$29:$BV$29)+87.5*Assumptions!$C$37)*Assumptions!$C$43*Assumptions!$C$6</f>
        <v/>
      </c>
      <c r="F21">
        <f>(SUMIF('Build (Monthly)'!$C$6:$BV$6,F$5,'Build (Monthly)'!$C$29:$BV$29)+112.5*Assumptions!$C$37)*Assumptions!$C$43*Assumptions!$C$6</f>
        <v/>
      </c>
      <c r="G21">
        <f>(SUMIF('Build (Monthly)'!$C$6:$BV$6,G$5,'Build (Monthly)'!$C$29:$BV$29)+137.5*Assumptions!$C$37)*Assumptions!$C$43*Assumptions!$C$6</f>
        <v/>
      </c>
      <c r="H21">
        <f>(SUMIF('Build (Monthly)'!$C$6:$BV$6,H$5,'Build (Monthly)'!$C$29:$BV$29)+162.5*Assumptions!$C$37)*Assumptions!$C$43*Assumptions!$C$6</f>
        <v/>
      </c>
    </row>
    <row r="22">
      <c r="B22" t="inlineStr">
        <is>
          <t>Acquisition (organizers)</t>
        </is>
      </c>
      <c r="C22">
        <f>SUMIF('Build (Monthly)'!$C$6:$BV$6,C$5,'Build (Monthly)'!$C$13:$BV$13)*Assumptions!$C$44*Assumptions!$C$6+SUMIF('Build (Monthly)'!$C$6:$BV$6,C$5,'Build (Monthly)'!$C$12:$BV$12)*Assumptions!$C$44*Assumptions!$C$6</f>
        <v/>
      </c>
      <c r="D22">
        <f>SUMIF('Build (Monthly)'!$C$6:$BV$6,D$5,'Build (Monthly)'!$C$13:$BV$13)*Assumptions!$C$44*Assumptions!$C$6+SUMIF('Build (Monthly)'!$C$6:$BV$6,D$5,'Build (Monthly)'!$C$12:$BV$12)*Assumptions!$C$44*Assumptions!$C$6</f>
        <v/>
      </c>
      <c r="E22">
        <f>SUMIF('Build (Monthly)'!$C$6:$BV$6,E$5,'Build (Monthly)'!$C$13:$BV$13)*Assumptions!$C$44*Assumptions!$C$6+SUMIF('Build (Monthly)'!$C$6:$BV$6,E$5,'Build (Monthly)'!$C$12:$BV$12)*Assumptions!$C$44*Assumptions!$C$6</f>
        <v/>
      </c>
      <c r="F22">
        <f>SUMIF('Build (Monthly)'!$C$6:$BV$6,F$5,'Build (Monthly)'!$C$13:$BV$13)*Assumptions!$C$44*Assumptions!$C$6+SUMIF('Build (Monthly)'!$C$6:$BV$6,F$5,'Build (Monthly)'!$C$12:$BV$12)*Assumptions!$C$44*Assumptions!$C$6</f>
        <v/>
      </c>
      <c r="G22">
        <f>SUMIF('Build (Monthly)'!$C$6:$BV$6,G$5,'Build (Monthly)'!$C$13:$BV$13)*Assumptions!$C$44*Assumptions!$C$6+SUMIF('Build (Monthly)'!$C$6:$BV$6,G$5,'Build (Monthly)'!$C$12:$BV$12)*Assumptions!$C$44*Assumptions!$C$6</f>
        <v/>
      </c>
      <c r="H22">
        <f>SUMIF('Build (Monthly)'!$C$6:$BV$6,H$5,'Build (Monthly)'!$C$13:$BV$13)*Assumptions!$C$44*Assumptions!$C$6+SUMIF('Build (Monthly)'!$C$6:$BV$6,H$5,'Build (Monthly)'!$C$12:$BV$12)*Assumptions!$C$44*Assumptions!$C$6</f>
        <v/>
      </c>
    </row>
    <row r="23">
      <c r="B23" t="inlineStr">
        <is>
          <t>Brand &amp; retention</t>
        </is>
      </c>
      <c r="C23">
        <f>C17*Assumptions!$C$45</f>
        <v/>
      </c>
      <c r="D23">
        <f>D17*Assumptions!$C$45</f>
        <v/>
      </c>
      <c r="E23">
        <f>E17*Assumptions!$C$45</f>
        <v/>
      </c>
      <c r="F23">
        <f>F17*Assumptions!$C$45</f>
        <v/>
      </c>
      <c r="G23">
        <f>G17*Assumptions!$C$45</f>
        <v/>
      </c>
      <c r="H23">
        <f>H17*Assumptions!$C$45</f>
        <v/>
      </c>
    </row>
    <row r="24">
      <c r="B24" t="inlineStr">
        <is>
          <t>Central budget</t>
        </is>
      </c>
      <c r="C24" t="n">
        <v>9500000</v>
      </c>
      <c r="D24" t="n">
        <v>16000000</v>
      </c>
      <c r="E24" t="n">
        <v>25000000</v>
      </c>
      <c r="F24" t="n">
        <v>33000000</v>
      </c>
      <c r="G24" t="n">
        <v>42000000</v>
      </c>
      <c r="H24" t="n">
        <v>53000000</v>
      </c>
    </row>
    <row r="25">
      <c r="B25" s="2" t="inlineStr">
        <is>
          <t>TOTAL COST</t>
        </is>
      </c>
      <c r="C25">
        <f>SUM(C20:C24)</f>
        <v/>
      </c>
      <c r="D25">
        <f>SUM(D20:D24)</f>
        <v/>
      </c>
      <c r="E25">
        <f>SUM(E20:E24)</f>
        <v/>
      </c>
      <c r="F25">
        <f>SUM(F20:F24)</f>
        <v/>
      </c>
      <c r="G25">
        <f>SUM(G20:G24)</f>
        <v/>
      </c>
      <c r="H25">
        <f>SUM(H20:H24)</f>
        <v/>
      </c>
    </row>
    <row r="27">
      <c r="B27" s="2" t="inlineStr">
        <is>
          <t>EBITDA</t>
        </is>
      </c>
      <c r="C27">
        <f>C17-C25</f>
        <v/>
      </c>
      <c r="D27">
        <f>D17-D25</f>
        <v/>
      </c>
      <c r="E27">
        <f>E17-E25</f>
        <v/>
      </c>
      <c r="F27">
        <f>F17-F25</f>
        <v/>
      </c>
      <c r="G27">
        <f>G17-G25</f>
        <v/>
      </c>
      <c r="H27">
        <f>H17-H25</f>
        <v/>
      </c>
    </row>
    <row r="28">
      <c r="B28" t="inlineStr">
        <is>
          <t>EBITDA margin</t>
        </is>
      </c>
      <c r="C28">
        <f>C27/C17</f>
        <v/>
      </c>
      <c r="D28">
        <f>D27/D17</f>
        <v/>
      </c>
      <c r="E28">
        <f>E27/E17</f>
        <v/>
      </c>
      <c r="F28">
        <f>F27/F17</f>
        <v/>
      </c>
      <c r="G28">
        <f>G27/G17</f>
        <v/>
      </c>
      <c r="H28">
        <f>H27/H17</f>
        <v/>
      </c>
    </row>
    <row r="30">
      <c r="B30" t="inlineStr">
        <is>
          <t>Capex</t>
        </is>
      </c>
      <c r="C30" t="n">
        <v>3500000</v>
      </c>
      <c r="D30" t="n">
        <v>2800000</v>
      </c>
      <c r="E30" t="n">
        <v>2200000</v>
      </c>
      <c r="F30" t="n">
        <v>1900000</v>
      </c>
      <c r="G30" t="n">
        <v>1700000</v>
      </c>
      <c r="H30" t="n">
        <v>1500000</v>
      </c>
    </row>
    <row r="31">
      <c r="B31" t="inlineStr">
        <is>
          <t>Free cash flow</t>
        </is>
      </c>
      <c r="C31">
        <f>C27-C30</f>
        <v/>
      </c>
      <c r="D31">
        <f>D27-D30</f>
        <v/>
      </c>
      <c r="E31">
        <f>E27-E30</f>
        <v/>
      </c>
      <c r="F31">
        <f>F27-F30</f>
        <v/>
      </c>
      <c r="G31">
        <f>G27-G30</f>
        <v/>
      </c>
      <c r="H31">
        <f>H27-H30</f>
        <v/>
      </c>
    </row>
    <row r="32">
      <c r="B32" t="inlineStr">
        <is>
          <t>Cumulative cash</t>
        </is>
      </c>
      <c r="C32">
        <f>C31</f>
        <v/>
      </c>
      <c r="D32">
        <f>C32+D31</f>
        <v/>
      </c>
      <c r="E32">
        <f>D32+E31</f>
        <v/>
      </c>
      <c r="F32">
        <f>E32+F31</f>
        <v/>
      </c>
      <c r="G32">
        <f>F32+G31</f>
        <v/>
      </c>
      <c r="H32">
        <f>G32+H31</f>
        <v/>
      </c>
    </row>
    <row r="34">
      <c r="B34" s="2" t="inlineStr">
        <is>
          <t>MEMO — INSURANCE</t>
        </is>
      </c>
    </row>
    <row r="35">
      <c r="B35" t="inlineStr">
        <is>
          <t>Jackpot gross entries</t>
        </is>
      </c>
      <c r="C35">
        <f>SUMIF('Build (Monthly)'!$C$6:$BV$6,C$5,'Build (Monthly)'!$C$25:$BV$25)*Assumptions!$C$6</f>
        <v/>
      </c>
      <c r="D35">
        <f>SUMIF('Build (Monthly)'!$C$6:$BV$6,D$5,'Build (Monthly)'!$C$25:$BV$25)*Assumptions!$C$6</f>
        <v/>
      </c>
      <c r="E35">
        <f>SUMIF('Build (Monthly)'!$C$6:$BV$6,E$5,'Build (Monthly)'!$C$25:$BV$25)*Assumptions!$C$6</f>
        <v/>
      </c>
      <c r="F35">
        <f>SUMIF('Build (Monthly)'!$C$6:$BV$6,F$5,'Build (Monthly)'!$C$25:$BV$25)*Assumptions!$C$6</f>
        <v/>
      </c>
      <c r="G35">
        <f>SUMIF('Build (Monthly)'!$C$6:$BV$6,G$5,'Build (Monthly)'!$C$25:$BV$25)*Assumptions!$C$6</f>
        <v/>
      </c>
      <c r="H35">
        <f>SUMIF('Build (Monthly)'!$C$6:$BV$6,H$5,'Build (Monthly)'!$C$25:$BV$25)*Assumptions!$C$6</f>
        <v/>
      </c>
    </row>
    <row r="36">
      <c r="B36" t="inlineStr">
        <is>
          <t>Premium ceded</t>
        </is>
      </c>
      <c r="C36">
        <f>SUMIF('Build (Monthly)'!$C$6:$BV$6,C$5,'Build (Monthly)'!$C$30:$BV$30)*Assumptions!$C$6</f>
        <v/>
      </c>
      <c r="D36">
        <f>SUMIF('Build (Monthly)'!$C$6:$BV$6,D$5,'Build (Monthly)'!$C$30:$BV$30)*Assumptions!$C$6</f>
        <v/>
      </c>
      <c r="E36">
        <f>SUMIF('Build (Monthly)'!$C$6:$BV$6,E$5,'Build (Monthly)'!$C$30:$BV$30)*Assumptions!$C$6</f>
        <v/>
      </c>
      <c r="F36">
        <f>SUMIF('Build (Monthly)'!$C$6:$BV$6,F$5,'Build (Monthly)'!$C$30:$BV$30)*Assumptions!$C$6</f>
        <v/>
      </c>
      <c r="G36">
        <f>SUMIF('Build (Monthly)'!$C$6:$BV$6,G$5,'Build (Monthly)'!$C$30:$BV$30)*Assumptions!$C$6</f>
        <v/>
      </c>
      <c r="H36">
        <f>SUMIF('Build (Monthly)'!$C$6:$BV$6,H$5,'Build (Monthly)'!$C$30:$BV$30)*Assumptions!$C$6</f>
        <v/>
      </c>
    </row>
    <row r="37">
      <c r="B37" t="inlineStr">
        <is>
          <t>Expected claims</t>
        </is>
      </c>
      <c r="C37">
        <f>SUMIF('Build (Monthly)'!$C$6:$BV$6,C$5,'Build (Monthly)'!$C$31:$BV$31)*Assumptions!$C$6</f>
        <v/>
      </c>
      <c r="D37">
        <f>SUMIF('Build (Monthly)'!$C$6:$BV$6,D$5,'Build (Monthly)'!$C$31:$BV$31)*Assumptions!$C$6</f>
        <v/>
      </c>
      <c r="E37">
        <f>SUMIF('Build (Monthly)'!$C$6:$BV$6,E$5,'Build (Monthly)'!$C$31:$BV$31)*Assumptions!$C$6</f>
        <v/>
      </c>
      <c r="F37">
        <f>SUMIF('Build (Monthly)'!$C$6:$BV$6,F$5,'Build (Monthly)'!$C$31:$BV$31)*Assumptions!$C$6</f>
        <v/>
      </c>
      <c r="G37">
        <f>SUMIF('Build (Monthly)'!$C$6:$BV$6,G$5,'Build (Monthly)'!$C$31:$BV$31)*Assumptions!$C$6</f>
        <v/>
      </c>
      <c r="H37">
        <f>SUMIF('Build (Monthly)'!$C$6:$BV$6,H$5,'Build (Monthly)'!$C$31:$BV$31)*Assumptions!$C$6</f>
        <v/>
      </c>
    </row>
    <row r="38">
      <c r="B38" t="inlineStr">
        <is>
          <t>Loss ratio</t>
        </is>
      </c>
      <c r="C38">
        <f>C37/C36</f>
        <v/>
      </c>
      <c r="D38">
        <f>D37/D36</f>
        <v/>
      </c>
      <c r="E38">
        <f>E37/E36</f>
        <v/>
      </c>
      <c r="F38">
        <f>F37/F36</f>
        <v/>
      </c>
      <c r="G38">
        <f>G37/G36</f>
        <v/>
      </c>
      <c r="H38">
        <f>H37/H36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7"/>
  <sheetViews>
    <sheetView workbookViewId="0">
      <selection activeCell="A1" sqref="A1"/>
    </sheetView>
  </sheetViews>
  <sheetFormatPr baseColWidth="8" defaultRowHeight="15"/>
  <cols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INSURANCE — THE SANTAM SUBMISSION, UNCHANGED</t>
        </is>
      </c>
    </row>
    <row r="3">
      <c r="B3" t="inlineStr">
        <is>
          <t>Premium is collected on the same swing that creates the risk. The subscription carries ZERO prize risk.</t>
        </is>
      </c>
    </row>
    <row r="5">
      <c r="B5" t="inlineStr">
        <is>
          <t>Premium (% of entry)</t>
        </is>
      </c>
      <c r="C5" s="3" t="n">
        <v>0.24</v>
      </c>
    </row>
    <row r="6">
      <c r="B6" t="inlineStr">
        <is>
          <t>Cover (% of prize)</t>
        </is>
      </c>
      <c r="C6" s="3" t="n">
        <v>1</v>
      </c>
    </row>
    <row r="7">
      <c r="B7" t="inlineStr">
        <is>
          <t>Broker commission (% of premium)</t>
        </is>
      </c>
      <c r="C7" s="3" t="n">
        <v>0.2</v>
      </c>
    </row>
    <row r="8">
      <c r="B8" t="inlineStr">
        <is>
          <t>Per-attempt ace probability</t>
        </is>
      </c>
      <c r="C8" s="3" t="n">
        <v>8.000000000000001e-05</v>
      </c>
    </row>
    <row r="10">
      <c r="B10" s="2" t="inlineStr">
        <is>
          <t>TIER LADDER</t>
        </is>
      </c>
    </row>
    <row r="11">
      <c r="B11" s="2" t="inlineStr">
        <is>
          <t>Tier</t>
        </is>
      </c>
      <c r="C11" s="2" t="inlineStr">
        <is>
          <t>Entry ($)</t>
        </is>
      </c>
      <c r="D11" s="2" t="inlineStr">
        <is>
          <t>Prize ($)</t>
        </is>
      </c>
      <c r="E11" s="2" t="inlineStr">
        <is>
          <t>Mix</t>
        </is>
      </c>
      <c r="F11" s="2" t="inlineStr">
        <is>
          <t>Premium/entry</t>
        </is>
      </c>
      <c r="G11" s="2" t="inlineStr">
        <is>
          <t>Exp. claim/entry</t>
        </is>
      </c>
      <c r="H11" s="2" t="inlineStr">
        <is>
          <t>Loss ratio</t>
        </is>
      </c>
    </row>
    <row r="12">
      <c r="B12" t="inlineStr">
        <is>
          <t>Tier 1</t>
        </is>
      </c>
      <c r="C12" s="3" t="n">
        <v>1</v>
      </c>
      <c r="D12" s="3" t="n">
        <v>500</v>
      </c>
      <c r="E12" s="3" t="n">
        <v>0.25</v>
      </c>
      <c r="F12">
        <f>C12*$C$5</f>
        <v/>
      </c>
      <c r="G12">
        <f>D12*$C$8*$C$6</f>
        <v/>
      </c>
      <c r="H12">
        <f>G12/F12</f>
        <v/>
      </c>
    </row>
    <row r="13">
      <c r="B13" t="inlineStr">
        <is>
          <t>Tier 2</t>
        </is>
      </c>
      <c r="C13" s="3" t="n">
        <v>5</v>
      </c>
      <c r="D13" s="3" t="n">
        <v>2500</v>
      </c>
      <c r="E13" s="3" t="n">
        <v>0.25</v>
      </c>
      <c r="F13">
        <f>C13*$C$5</f>
        <v/>
      </c>
      <c r="G13">
        <f>D13*$C$8*$C$6</f>
        <v/>
      </c>
      <c r="H13">
        <f>G13/F13</f>
        <v/>
      </c>
    </row>
    <row r="14">
      <c r="B14" t="inlineStr">
        <is>
          <t>Tier 3</t>
        </is>
      </c>
      <c r="C14" s="3" t="n">
        <v>10</v>
      </c>
      <c r="D14" s="3" t="n">
        <v>10000</v>
      </c>
      <c r="E14" s="3" t="n">
        <v>0.3</v>
      </c>
      <c r="F14">
        <f>C14*$C$5</f>
        <v/>
      </c>
      <c r="G14">
        <f>D14*$C$8*$C$6</f>
        <v/>
      </c>
      <c r="H14">
        <f>G14/F14</f>
        <v/>
      </c>
    </row>
    <row r="15">
      <c r="B15" t="inlineStr">
        <is>
          <t>Tier 4</t>
        </is>
      </c>
      <c r="C15" s="3" t="n">
        <v>50</v>
      </c>
      <c r="D15" s="3" t="n">
        <v>50000</v>
      </c>
      <c r="E15" s="3" t="n">
        <v>0.15</v>
      </c>
      <c r="F15">
        <f>C15*$C$5</f>
        <v/>
      </c>
      <c r="G15">
        <f>D15*$C$8*$C$6</f>
        <v/>
      </c>
      <c r="H15">
        <f>G15/F15</f>
        <v/>
      </c>
    </row>
    <row r="16">
      <c r="B16" t="inlineStr">
        <is>
          <t>Tier 5</t>
        </is>
      </c>
      <c r="C16" s="3" t="n">
        <v>100</v>
      </c>
      <c r="D16" s="3" t="n">
        <v>100000</v>
      </c>
      <c r="E16" s="3" t="n">
        <v>0.05</v>
      </c>
      <c r="F16">
        <f>C16*$C$5</f>
        <v/>
      </c>
      <c r="G16">
        <f>D16*$C$8*$C$6</f>
        <v/>
      </c>
      <c r="H16">
        <f>G16/F16</f>
        <v/>
      </c>
    </row>
    <row r="17">
      <c r="B17" s="2" t="inlineStr">
        <is>
          <t>Weighted average</t>
        </is>
      </c>
      <c r="C17">
        <f>SUMPRODUCT($E$12:$E$16,C12:C16)</f>
        <v/>
      </c>
      <c r="D17">
        <f>SUMPRODUCT($E$12:$E$16,D12:D16)</f>
        <v/>
      </c>
      <c r="E17">
        <f>SUM(E12:E16)</f>
        <v/>
      </c>
      <c r="F17">
        <f>SUMPRODUCT($E$12:$E$16,F12:F16)</f>
        <v/>
      </c>
      <c r="G17">
        <f>SUMPRODUCT($E$12:$E$16,G12:G16)</f>
        <v/>
      </c>
      <c r="H17">
        <f>G17/F17</f>
        <v/>
      </c>
    </row>
    <row r="19">
      <c r="B19" t="inlineStr">
        <is>
          <t>Loss ratio (claims / premium)</t>
        </is>
      </c>
      <c r="C19">
        <f>H17</f>
        <v/>
      </c>
    </row>
    <row r="20">
      <c r="B20" t="inlineStr">
        <is>
          <t>Combined ratio (incl. brokerage)</t>
        </is>
      </c>
      <c r="C20">
        <f>(G17+F17*C7)/F17</f>
        <v/>
      </c>
    </row>
    <row r="21">
      <c r="B21" t="inlineStr">
        <is>
          <t>Breakeven ace frequency multiple</t>
        </is>
      </c>
      <c r="C21">
        <f>(F17*(1-C7))/G17</f>
        <v/>
      </c>
    </row>
    <row r="22">
      <c r="B22" t="inlineStr">
        <is>
          <t>Largest single-event exposure ($)</t>
        </is>
      </c>
      <c r="C22">
        <f>MAX(D12:D16)</f>
        <v/>
      </c>
    </row>
    <row r="24">
      <c r="B24" t="inlineStr">
        <is>
          <t>GROUP-POOLED ON THE SLIP: the fourball buys in together; four swings on one designated hole;</t>
        </is>
      </c>
    </row>
    <row r="25">
      <c r="B25" t="inlineStr">
        <is>
          <t>any ace pays the group. Mechanically each swing is one entry above — nothing changes for the insurer.</t>
        </is>
      </c>
    </row>
    <row r="27">
      <c r="B27" s="2" t="inlineStr">
        <is>
          <t>NOT BOUND: submitted structure. No revised policy is bound on these terms as at August 2026.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34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2">
      <c r="B2" s="1" t="inlineStr">
        <is>
          <t>VALUATION</t>
        </is>
      </c>
    </row>
    <row r="5">
      <c r="C5" s="2" t="inlineStr">
        <is>
          <t>2027</t>
        </is>
      </c>
      <c r="D5" s="2" t="inlineStr">
        <is>
          <t>Dec 2029</t>
        </is>
      </c>
      <c r="E5" s="2" t="inlineStr">
        <is>
          <t>2032</t>
        </is>
      </c>
    </row>
    <row r="6">
      <c r="B6" t="inlineStr">
        <is>
          <t>Total revenue (ZAR)</t>
        </is>
      </c>
      <c r="C6">
        <f>Annual!C17</f>
        <v/>
      </c>
      <c r="D6">
        <f>Annual!E17</f>
        <v/>
      </c>
      <c r="E6">
        <f>Annual!H17</f>
        <v/>
      </c>
    </row>
    <row r="7">
      <c r="B7" t="inlineStr">
        <is>
          <t>EBITDA (ZAR)</t>
        </is>
      </c>
      <c r="C7">
        <f>Annual!C27</f>
        <v/>
      </c>
      <c r="D7">
        <f>Annual!E27</f>
        <v/>
      </c>
      <c r="E7">
        <f>Annual!H27</f>
        <v/>
      </c>
    </row>
    <row r="8">
      <c r="B8" t="inlineStr">
        <is>
          <t>Revenue multiple applied</t>
        </is>
      </c>
      <c r="C8">
        <f>C10/C6</f>
        <v/>
      </c>
      <c r="D8">
        <f>Assumptions!$C$48</f>
        <v/>
      </c>
      <c r="E8">
        <f>Assumptions!$C$48</f>
        <v/>
      </c>
    </row>
    <row r="9">
      <c r="B9" s="4" t="inlineStr">
        <is>
          <t xml:space="preserve">  (2027 shows what the round implies — not an input)</t>
        </is>
      </c>
    </row>
    <row r="10">
      <c r="B10" t="inlineStr">
        <is>
          <t>Valuation milestone (ZAR)</t>
        </is>
      </c>
      <c r="C10">
        <f>Assumptions!$C$9</f>
        <v/>
      </c>
      <c r="D10">
        <f>D6*D8</f>
        <v/>
      </c>
      <c r="E10">
        <f>E6*E8</f>
        <v/>
      </c>
    </row>
    <row r="12">
      <c r="B12" s="2" t="inlineStr">
        <is>
          <t>INVESTOR</t>
        </is>
      </c>
    </row>
    <row r="13">
      <c r="B13" t="inlineStr">
        <is>
          <t>Ticket (ZAR)</t>
        </is>
      </c>
      <c r="C13" s="3" t="n">
        <v>8000000</v>
      </c>
    </row>
    <row r="14">
      <c r="B14" t="inlineStr">
        <is>
          <t>Stake (raise / post)</t>
        </is>
      </c>
      <c r="C14">
        <f>C13/Assumptions!$C$9</f>
        <v/>
      </c>
    </row>
    <row r="15">
      <c r="B15" t="inlineStr">
        <is>
          <t>Value of stake</t>
        </is>
      </c>
      <c r="C15">
        <f>$C$14*C10</f>
        <v/>
      </c>
      <c r="D15">
        <f>$C$14*D10</f>
        <v/>
      </c>
      <c r="E15">
        <f>$C$14*E10</f>
        <v/>
      </c>
    </row>
    <row r="16">
      <c r="B16" t="inlineStr">
        <is>
          <t>Multiple on ticket</t>
        </is>
      </c>
      <c r="C16">
        <f>C15/$C$13</f>
        <v/>
      </c>
      <c r="D16">
        <f>D15/$C$13</f>
        <v/>
      </c>
      <c r="E16">
        <f>E15/$C$13</f>
        <v/>
      </c>
    </row>
    <row r="17">
      <c r="B17" t="inlineStr">
        <is>
          <t>IRR to Dec 2029 (3 years from Jan 2027)</t>
        </is>
      </c>
      <c r="D17">
        <f>D16^(1/3)-1</f>
        <v/>
      </c>
    </row>
    <row r="18">
      <c r="B18" s="4" t="inlineStr">
        <is>
          <t>Unrealised mark on a private holding, not a realised return.</t>
        </is>
      </c>
    </row>
    <row r="20">
      <c r="B20" s="2" t="inlineStr">
        <is>
          <t>FUNDING</t>
        </is>
      </c>
    </row>
    <row r="21">
      <c r="B21" t="inlineStr">
        <is>
          <t>Peak cumulative drawdown (ZAR)</t>
        </is>
      </c>
      <c r="C21">
        <f>MIN(Annual!C32:H32)</f>
        <v/>
      </c>
    </row>
    <row r="22">
      <c r="B22" t="inlineStr">
        <is>
          <t>Raise (ZAR)</t>
        </is>
      </c>
      <c r="C22">
        <f>Assumptions!$C$7</f>
        <v/>
      </c>
    </row>
    <row r="24">
      <c r="B24" s="2" t="inlineStr">
        <is>
          <t>MULTIPLE SENSITIVITY — 3.0x is a choice</t>
        </is>
      </c>
    </row>
    <row r="25">
      <c r="B25" t="inlineStr">
        <is>
          <t>At 2.5x</t>
        </is>
      </c>
      <c r="C25">
        <f>Annual!E17*2.5</f>
        <v/>
      </c>
      <c r="D25">
        <f>C25*$C$14/$C$13</f>
        <v/>
      </c>
    </row>
    <row r="26">
      <c r="B26" t="inlineStr">
        <is>
          <t>At 3.0x(used)</t>
        </is>
      </c>
      <c r="C26">
        <f>Annual!E17*3.0</f>
        <v/>
      </c>
      <c r="D26">
        <f>C26*$C$14/$C$13</f>
        <v/>
      </c>
    </row>
    <row r="27">
      <c r="B27" t="inlineStr">
        <is>
          <t>At 3.5x</t>
        </is>
      </c>
      <c r="C27">
        <f>Annual!E17*3.5</f>
        <v/>
      </c>
      <c r="D27">
        <f>C27*$C$14/$C$13</f>
        <v/>
      </c>
    </row>
    <row r="29">
      <c r="B29" s="2" t="inlineStr">
        <is>
          <t>RISKS TO THESE NUMBERS</t>
        </is>
      </c>
    </row>
    <row r="30">
      <c r="B30" t="inlineStr">
        <is>
          <t>Jackpot attach (35%) is the decisive assumption — measured by the 90-day pilot before the app ships.</t>
        </is>
      </c>
    </row>
    <row r="31">
      <c r="B31" t="inlineStr">
        <is>
          <t>Santam's written sign-off on the peer-game wrapper is a gating milestone, not yet in hand.</t>
        </is>
      </c>
    </row>
    <row r="32">
      <c r="B32" t="inlineStr">
        <is>
          <t>The P2P legal opinion is commissioned before launch; the peer layer is free and custody-free by design.</t>
        </is>
      </c>
    </row>
    <row r="33">
      <c r="B33" t="inlineStr">
        <is>
          <t>Simulator operator agreements are not signed; no approach made as at Aug 2026.</t>
        </is>
      </c>
    </row>
    <row r="34">
      <c r="B34" t="inlineStr">
        <is>
          <t>Peer GMV is an engagement KPI. Get Lucky's revenue from peer stakes is ZERO, permanently.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2026-08-06T11:58:40Z</dcterms:created>
  <dcterms:modified xsi:type="dcterms:W3CDTF">2026-08-06T11:59:43Z</dcterms:modified>
</cp:coreProperties>
</file>