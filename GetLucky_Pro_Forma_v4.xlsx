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Dashboard" sheetId="2" state="visible" r:id="rId2"/>
    <sheet name="Assumptions" sheetId="3" state="visible" r:id="rId3"/>
    <sheet name="Build (Monthly)" sheetId="4" state="visible" r:id="rId4"/>
    <sheet name="Annual" sheetId="5" state="visible" r:id="rId5"/>
    <sheet name="Insurance" sheetId="6" state="visible" r:id="rId6"/>
    <sheet name="Valu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R#,##0"/>
    <numFmt numFmtId="165" formatCode="0.00&quot;x&quot;"/>
    <numFmt numFmtId="166" formatCode="R#,##0,,&quot;m&quot;"/>
    <numFmt numFmtId="167" formatCode="0.0%"/>
    <numFmt numFmtId="168" formatCode="0.0"/>
    <numFmt numFmtId="169" formatCode="$#,##0"/>
    <numFmt numFmtId="170" formatCode="$0.00"/>
    <numFmt numFmtId="171" formatCode="0.0&quot;x&quot;"/>
  </numFmts>
  <fonts count="30">
    <font>
      <name val="Calibri"/>
      <family val="2"/>
      <color theme="1"/>
      <sz val="11"/>
      <scheme val="minor"/>
    </font>
    <font>
      <b val="1"/>
    </font>
    <font>
      <b val="1"/>
      <color rgb="00FFFFFF"/>
      <sz val="13"/>
    </font>
    <font>
      <color rgb="001F4E9C"/>
    </font>
    <font>
      <i val="1"/>
      <color rgb="00666666"/>
      <sz val="9"/>
    </font>
    <font>
      <name val="Arial"/>
      <b val="1"/>
      <color rgb="00345230"/>
      <sz val="18"/>
    </font>
    <font>
      <name val="Arial"/>
      <color rgb="0016261A"/>
      <sz val="10"/>
    </font>
    <font>
      <name val="Arial"/>
      <b val="1"/>
      <color rgb="008A6F2E"/>
      <sz val="11"/>
    </font>
    <font>
      <name val="Arial"/>
      <b val="1"/>
      <color rgb="00345230"/>
      <sz val="13"/>
    </font>
    <font>
      <name val="Arial"/>
      <color rgb="005A6B58"/>
      <sz val="8.5"/>
    </font>
    <font>
      <name val="Arial"/>
      <b val="1"/>
      <color rgb="00FFFFFF"/>
      <sz val="13"/>
    </font>
    <font>
      <name val="Arial"/>
      <color theme="1"/>
      <sz val="11"/>
    </font>
    <font>
      <name val="Arial"/>
      <b val="1"/>
      <sz val="10"/>
    </font>
    <font>
      <name val="Arial"/>
      <color rgb="001F4E9C"/>
      <sz val="10"/>
    </font>
    <font>
      <name val="Arial"/>
      <i val="1"/>
      <color rgb="00666666"/>
      <sz val="9"/>
    </font>
    <font>
      <name val="Arial"/>
      <b val="1"/>
      <color rgb="00345230"/>
      <sz val="16"/>
    </font>
    <font>
      <name val="Arial"/>
      <color rgb="005A6B58"/>
      <sz val="9"/>
    </font>
    <font>
      <name val="Arial"/>
      <b val="1"/>
      <color rgb="FF0000FF"/>
      <sz val="10"/>
    </font>
    <font>
      <name val="Arial"/>
      <b val="1"/>
      <color rgb="0016261A"/>
      <sz val="10"/>
    </font>
    <font>
      <name val="Arial"/>
      <b val="1"/>
      <color rgb="00FDFCF5"/>
      <sz val="10"/>
    </font>
    <font>
      <name val="Arial"/>
      <b val="1"/>
      <color rgb="00345230"/>
      <sz val="10"/>
    </font>
    <font>
      <name val="Arial"/>
      <color rgb="00345230"/>
      <sz val="9"/>
    </font>
    <font>
      <name val="Arial"/>
      <color rgb="0016261A"/>
      <sz val="9"/>
    </font>
    <font>
      <name val="Arial"/>
      <b val="1"/>
      <color rgb="00345230"/>
      <sz val="9"/>
    </font>
    <font>
      <name val="Arial"/>
      <b val="1"/>
      <color rgb="00FDFCF5"/>
      <sz val="9"/>
    </font>
    <font>
      <name val="Arial"/>
      <b val="1"/>
      <color rgb="008A6F2E"/>
      <sz val="8"/>
    </font>
    <font>
      <name val="Arial"/>
      <b val="1"/>
      <color rgb="00345230"/>
      <sz val="15"/>
    </font>
    <font>
      <name val="Arial"/>
      <b val="1"/>
      <color rgb="0016261A"/>
      <sz val="9"/>
    </font>
    <font>
      <name val="Arial"/>
      <color rgb="009A937B"/>
      <sz val="8"/>
    </font>
    <font>
      <name val="Arial"/>
      <b val="1"/>
      <color rgb="009A937B"/>
      <sz val="8"/>
    </font>
  </fonts>
  <fills count="4">
    <fill>
      <patternFill/>
    </fill>
    <fill>
      <patternFill patternType="gray125"/>
    </fill>
    <fill>
      <patternFill patternType="solid">
        <fgColor rgb="00345230"/>
      </patternFill>
    </fill>
    <fill>
      <patternFill patternType="solid">
        <fgColor rgb="00EFEBDD"/>
      </patternFill>
    </fill>
  </fills>
  <borders count="3">
    <border>
      <left/>
      <right/>
      <top/>
      <bottom/>
      <diagonal/>
    </border>
    <border>
      <bottom style="medium">
        <color rgb="00C9A94E"/>
      </bottom>
    </border>
    <border>
      <left style="thin">
        <color rgb="00D8D2BE"/>
      </left>
      <right style="thin">
        <color rgb="00D8D2BE"/>
      </right>
      <top style="thin">
        <color rgb="00D8D2BE"/>
      </top>
      <bottom style="thin">
        <color rgb="00D8D2BE"/>
      </bottom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2" fillId="2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3" borderId="0" pivotButton="0" quotePrefix="0" xfId="0"/>
    <xf numFmtId="0" fontId="9" fillId="0" borderId="0" pivotButton="0" quotePrefix="0" xfId="0"/>
    <xf numFmtId="0" fontId="5" fillId="0" borderId="0" pivotButton="0" quotePrefix="0" xfId="0"/>
    <xf numFmtId="0" fontId="16" fillId="0" borderId="0" pivotButton="0" quotePrefix="0" xfId="0"/>
    <xf numFmtId="0" fontId="25" fillId="0" borderId="0" pivotButton="0" quotePrefix="0" xfId="0"/>
    <xf numFmtId="164" fontId="26" fillId="0" borderId="0" pivotButton="0" quotePrefix="0" xfId="0"/>
    <xf numFmtId="165" fontId="26" fillId="0" borderId="0" pivotButton="0" quotePrefix="0" xfId="0"/>
    <xf numFmtId="3" fontId="26" fillId="0" borderId="0" pivotButton="0" quotePrefix="0" xfId="0"/>
    <xf numFmtId="0" fontId="7" fillId="0" borderId="1" pivotButton="0" quotePrefix="0" xfId="0"/>
    <xf numFmtId="0" fontId="24" fillId="2" borderId="0" applyAlignment="1" pivotButton="0" quotePrefix="0" xfId="0">
      <alignment horizontal="center"/>
    </xf>
    <xf numFmtId="0" fontId="22" fillId="0" borderId="0" pivotButton="0" quotePrefix="0" xfId="0"/>
    <xf numFmtId="166" fontId="22" fillId="0" borderId="2" pivotButton="0" quotePrefix="0" xfId="0"/>
    <xf numFmtId="0" fontId="27" fillId="0" borderId="0" pivotButton="0" quotePrefix="0" xfId="0"/>
    <xf numFmtId="166" fontId="23" fillId="3" borderId="2" pivotButton="0" quotePrefix="0" xfId="0"/>
    <xf numFmtId="167" fontId="22" fillId="0" borderId="2" pivotButton="0" quotePrefix="0" xfId="0"/>
    <xf numFmtId="166" fontId="20" fillId="0" borderId="2" pivotButton="0" quotePrefix="0" xfId="0"/>
    <xf numFmtId="165" fontId="20" fillId="0" borderId="2" pivotButton="0" quotePrefix="0" xfId="0"/>
    <xf numFmtId="167" fontId="20" fillId="0" borderId="2" pivotButton="0" quotePrefix="0" xfId="0"/>
    <xf numFmtId="0" fontId="28" fillId="0" borderId="0" pivotButton="0" quotePrefix="0" xfId="0"/>
    <xf numFmtId="0" fontId="15" fillId="2" borderId="0" pivotButton="0" quotePrefix="0" xfId="0"/>
    <xf numFmtId="168" fontId="17" fillId="0" borderId="0" pivotButton="0" quotePrefix="0" xfId="0"/>
    <xf numFmtId="164" fontId="17" fillId="0" borderId="0" pivotButton="0" quotePrefix="0" xfId="0"/>
    <xf numFmtId="9" fontId="17" fillId="0" borderId="0" pivotButton="0" quotePrefix="0" xfId="0"/>
    <xf numFmtId="164" fontId="18" fillId="0" borderId="0" pivotButton="0" quotePrefix="0" xfId="0"/>
    <xf numFmtId="3" fontId="17" fillId="0" borderId="0" pivotButton="0" quotePrefix="0" xfId="0"/>
    <xf numFmtId="1" fontId="17" fillId="0" borderId="0" pivotButton="0" quotePrefix="0" xfId="0"/>
    <xf numFmtId="167" fontId="17" fillId="0" borderId="0" pivotButton="0" quotePrefix="0" xfId="0"/>
    <xf numFmtId="169" fontId="17" fillId="0" borderId="0" pivotButton="0" quotePrefix="0" xfId="0"/>
    <xf numFmtId="170" fontId="17" fillId="0" borderId="0" pivotButton="0" quotePrefix="0" xfId="0"/>
    <xf numFmtId="171" fontId="17" fillId="0" borderId="0" pivotButton="0" quotePrefix="0" xfId="0"/>
    <xf numFmtId="0" fontId="21" fillId="0" borderId="0" pivotButton="0" quotePrefix="0" xfId="0"/>
    <xf numFmtId="3" fontId="24" fillId="2" borderId="0" pivotButton="0" quotePrefix="0" xfId="0"/>
    <xf numFmtId="3" fontId="22" fillId="0" borderId="0" pivotButton="0" quotePrefix="0" xfId="0"/>
    <xf numFmtId="0" fontId="23" fillId="0" borderId="0" pivotButton="0" quotePrefix="0" xfId="0"/>
    <xf numFmtId="0" fontId="0" fillId="2" borderId="0" pivotButton="0" quotePrefix="0" xfId="0"/>
    <xf numFmtId="0" fontId="19" fillId="2" borderId="0" applyAlignment="1" pivotButton="0" quotePrefix="0" xfId="0">
      <alignment horizontal="center"/>
    </xf>
    <xf numFmtId="3" fontId="6" fillId="0" borderId="2" pivotButton="0" quotePrefix="0" xfId="0"/>
    <xf numFmtId="169" fontId="6" fillId="0" borderId="2" pivotButton="0" quotePrefix="0" xfId="0"/>
    <xf numFmtId="164" fontId="6" fillId="0" borderId="2" pivotButton="0" quotePrefix="0" xfId="0"/>
    <xf numFmtId="0" fontId="18" fillId="0" borderId="0" pivotButton="0" quotePrefix="0" xfId="0"/>
    <xf numFmtId="164" fontId="20" fillId="3" borderId="2" pivotButton="0" quotePrefix="0" xfId="0"/>
    <xf numFmtId="164" fontId="18" fillId="0" borderId="2" pivotButton="0" quotePrefix="0" xfId="0"/>
    <xf numFmtId="167" fontId="6" fillId="0" borderId="2" pivotButton="0" quotePrefix="0" xfId="0"/>
    <xf numFmtId="0" fontId="6" fillId="0" borderId="2" pivotButton="0" quotePrefix="0" xfId="0"/>
    <xf numFmtId="0" fontId="19" fillId="2" borderId="2" applyAlignment="1" pivotButton="0" quotePrefix="0" xfId="0">
      <alignment horizontal="center"/>
    </xf>
    <xf numFmtId="165" fontId="6" fillId="0" borderId="2" pivotButton="0" quotePrefix="0" xfId="0"/>
    <xf numFmtId="165" fontId="18" fillId="0" borderId="2" pivotButton="0" quotePrefix="0" xfId="0"/>
    <xf numFmtId="164" fontId="26" fillId="0" borderId="0" pivotButton="0" quotePrefix="0" xfId="0"/>
    <xf numFmtId="165" fontId="26" fillId="0" borderId="0" pivotButton="0" quotePrefix="0" xfId="0"/>
    <xf numFmtId="166" fontId="22" fillId="0" borderId="2" pivotButton="0" quotePrefix="0" xfId="0"/>
    <xf numFmtId="166" fontId="23" fillId="3" borderId="2" pivotButton="0" quotePrefix="0" xfId="0"/>
    <xf numFmtId="167" fontId="22" fillId="0" borderId="2" pivotButton="0" quotePrefix="0" xfId="0"/>
    <xf numFmtId="166" fontId="20" fillId="0" borderId="2" pivotButton="0" quotePrefix="0" xfId="0"/>
    <xf numFmtId="165" fontId="20" fillId="0" borderId="2" pivotButton="0" quotePrefix="0" xfId="0"/>
    <xf numFmtId="167" fontId="20" fillId="0" borderId="2" pivotButton="0" quotePrefix="0" xfId="0"/>
    <xf numFmtId="168" fontId="17" fillId="0" borderId="0" pivotButton="0" quotePrefix="0" xfId="0"/>
    <xf numFmtId="164" fontId="17" fillId="0" borderId="0" pivotButton="0" quotePrefix="0" xfId="0"/>
    <xf numFmtId="164" fontId="18" fillId="0" borderId="0" pivotButton="0" quotePrefix="0" xfId="0"/>
    <xf numFmtId="167" fontId="17" fillId="0" borderId="0" pivotButton="0" quotePrefix="0" xfId="0"/>
    <xf numFmtId="169" fontId="17" fillId="0" borderId="0" pivotButton="0" quotePrefix="0" xfId="0"/>
    <xf numFmtId="170" fontId="17" fillId="0" borderId="0" pivotButton="0" quotePrefix="0" xfId="0"/>
    <xf numFmtId="171" fontId="17" fillId="0" borderId="0" pivotButton="0" quotePrefix="0" xfId="0"/>
    <xf numFmtId="169" fontId="6" fillId="0" borderId="2" pivotButton="0" quotePrefix="0" xfId="0"/>
    <xf numFmtId="164" fontId="6" fillId="0" borderId="2" pivotButton="0" quotePrefix="0" xfId="0"/>
    <xf numFmtId="164" fontId="20" fillId="3" borderId="2" pivotButton="0" quotePrefix="0" xfId="0"/>
    <xf numFmtId="164" fontId="18" fillId="0" borderId="2" pivotButton="0" quotePrefix="0" xfId="0"/>
    <xf numFmtId="167" fontId="6" fillId="0" borderId="2" pivotButton="0" quotePrefix="0" xfId="0"/>
    <xf numFmtId="165" fontId="6" fillId="0" borderId="2" pivotButton="0" quotePrefix="0" xfId="0"/>
    <xf numFmtId="165" fontId="18" fillId="0" borderId="2" pivotButton="0" quotePrefix="0" xfId="0"/>
    <xf numFmtId="166" fontId="26" fillId="0" borderId="0" pivotButton="0" quotePrefix="0" xfId="0"/>
    <xf numFmtId="0" fontId="2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by stream (ZAR)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Dashboard!$B$14</f>
            </strRef>
          </tx>
          <spPr>
            <a:solidFill>
              <a:srgbClr val="478F41"/>
            </a:solidFill>
            <a:ln>
              <a:prstDash val="solid"/>
            </a:ln>
          </spPr>
          <cat>
            <numRef>
              <f>'Dashboard'!$C$13:$H$13</f>
            </numRef>
          </cat>
          <val>
            <numRef>
              <f>'Dashboard'!$C$14:$H$14</f>
            </numRef>
          </val>
        </ser>
        <ser>
          <idx val="1"/>
          <order val="1"/>
          <tx>
            <strRef>
              <f>Dashboard!$B$15</f>
            </strRef>
          </tx>
          <spPr>
            <a:solidFill>
              <a:srgbClr val="C9A94E"/>
            </a:solidFill>
            <a:ln>
              <a:prstDash val="solid"/>
            </a:ln>
          </spPr>
          <cat>
            <numRef>
              <f>'Dashboard'!$C$13:$H$13</f>
            </numRef>
          </cat>
          <val>
            <numRef>
              <f>'Dashboard'!$C$15:$H$15</f>
            </numRef>
          </val>
        </ser>
        <ser>
          <idx val="2"/>
          <order val="2"/>
          <tx>
            <strRef>
              <f>Dashboard!$B$16</f>
            </strRef>
          </tx>
          <spPr>
            <a:solidFill>
              <a:srgbClr val="8FC089"/>
            </a:solidFill>
            <a:ln>
              <a:prstDash val="solid"/>
            </a:ln>
          </spPr>
          <cat>
            <numRef>
              <f>'Dashboard'!$C$13:$H$13</f>
            </numRef>
          </cat>
          <val>
            <numRef>
              <f>'Dashboard'!$C$16:$H$16</f>
            </numRef>
          </val>
        </ser>
        <ser>
          <idx val="3"/>
          <order val="3"/>
          <tx>
            <strRef>
              <f>Dashboard!$B$17</f>
            </strRef>
          </tx>
          <spPr>
            <a:solidFill>
              <a:srgbClr val="2F6F6B"/>
            </a:solidFill>
            <a:ln>
              <a:prstDash val="solid"/>
            </a:ln>
          </spPr>
          <cat>
            <numRef>
              <f>'Dashboard'!$C$13:$H$13</f>
            </numRef>
          </cat>
          <val>
            <numRef>
              <f>'Dashboard'!$C$17:$H$17</f>
            </numRef>
          </val>
        </ser>
        <ser>
          <idx val="4"/>
          <order val="4"/>
          <tx>
            <strRef>
              <f>Dashboard!$B$18</f>
            </strRef>
          </tx>
          <spPr>
            <a:solidFill>
              <a:srgbClr val="8A6F2E"/>
            </a:solidFill>
            <a:ln>
              <a:prstDash val="solid"/>
            </a:ln>
          </spPr>
          <cat>
            <numRef>
              <f>'Dashboard'!$C$13:$H$13</f>
            </numRef>
          </cat>
          <val>
            <numRef>
              <f>'Dashboard'!$C$18:$H$18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cash (ZAR) — trough inside the raise</a:t>
            </a:r>
          </a:p>
        </rich>
      </tx>
    </title>
    <plotArea>
      <lineChart>
        <grouping val="standard"/>
        <ser>
          <idx val="0"/>
          <order val="0"/>
          <spPr>
            <a:ln w="28000">
              <a:solidFill>
                <a:srgbClr val="34523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'Dashboard'!$C$13:$H$13</f>
            </numRef>
          </cat>
          <val>
            <numRef>
              <f>'Dashboard'!$C$28:$H$28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Valuation milestones (ZAR) — flat 3.0× revenue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C9A94E"/>
              </a:solidFill>
              <a:ln>
                <a:prstDash val="solid"/>
              </a:ln>
            </spPr>
          </dPt>
          <dPt>
            <idx val="1"/>
            <spPr>
              <a:solidFill>
                <a:srgbClr val="478F41"/>
              </a:solidFill>
              <a:ln>
                <a:prstDash val="solid"/>
              </a:ln>
            </spPr>
          </dPt>
          <dPt>
            <idx val="2"/>
            <spPr>
              <a:solidFill>
                <a:srgbClr val="345230"/>
              </a:solidFill>
              <a:ln>
                <a:prstDash val="solid"/>
              </a:ln>
            </spPr>
          </dPt>
          <cat>
            <numRef>
              <f>'Dashboard'!$B$95:$B$97</f>
            </numRef>
          </cat>
          <val>
            <numRef>
              <f>'Dashboard'!$C$95:$C$97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Use of funds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345230"/>
              </a:solidFill>
              <a:ln>
                <a:prstDash val="solid"/>
              </a:ln>
            </spPr>
          </dPt>
          <dPt>
            <idx val="1"/>
            <spPr>
              <a:solidFill>
                <a:srgbClr val="EFEBDD"/>
              </a:solidFill>
              <a:ln>
                <a:prstDash val="solid"/>
              </a:ln>
            </spPr>
          </dPt>
          <dPt>
            <idx val="2"/>
            <spPr>
              <a:solidFill>
                <a:srgbClr val="16261A"/>
              </a:solidFill>
              <a:ln>
                <a:prstDash val="solid"/>
              </a:ln>
            </spPr>
          </dPt>
          <dPt>
            <idx val="3"/>
            <spPr>
              <a:solidFill>
                <a:srgbClr val="C9A94E"/>
              </a:solidFill>
              <a:ln>
                <a:prstDash val="solid"/>
              </a:ln>
            </spPr>
          </dPt>
          <dPt>
            <idx val="4"/>
            <spPr>
              <a:solidFill>
                <a:srgbClr val="8FC089"/>
              </a:solidFill>
              <a:ln>
                <a:prstDash val="solid"/>
              </a:ln>
            </spPr>
          </dPt>
          <cat>
            <numRef>
              <f>'Dashboard'!$B$89:$B$93</f>
            </numRef>
          </cat>
          <val>
            <numRef>
              <f>'Dashboard'!$C$89:$C$93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40</row>
      <rowOff>0</rowOff>
    </from>
    <ext cx="54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40</row>
      <rowOff>0</rowOff>
    </from>
    <ext cx="540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61</row>
      <rowOff>0</rowOff>
    </from>
    <ext cx="5400000" cy="32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9</col>
      <colOff>0</colOff>
      <row>61</row>
      <rowOff>0</rowOff>
    </from>
    <ext cx="5400000" cy="32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16261A"/>
    <outlinePr summaryBelow="1" summaryRight="1"/>
    <pageSetUpPr/>
  </sheetPr>
  <dimension ref="B2:B3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8" customWidth="1" min="2" max="2"/>
  </cols>
  <sheetData>
    <row r="2">
      <c r="B2" s="5" t="inlineStr">
        <is>
          <t>GET LUCKY GOLF CLUB — PRO FORMA</t>
        </is>
      </c>
    </row>
    <row r="3">
      <c r="B3" s="6" t="inlineStr">
        <is>
          <t>The fourball's money game, in an app — "a golf day in your pocket" — with a Santam-underwritten</t>
        </is>
      </c>
    </row>
    <row r="4">
      <c r="B4" s="6" t="inlineStr">
        <is>
          <t>$100,000 hole-in-one on the slip. 72-month driver model from January 2027, subscribers from zero.</t>
        </is>
      </c>
    </row>
    <row r="6">
      <c r="B6" s="7" t="inlineStr">
        <is>
          <t>THE STRUCTURE, AND WHY</t>
        </is>
      </c>
    </row>
    <row r="7">
      <c r="B7" s="6" t="inlineStr">
        <is>
          <t>1 · PEER GAMES — free forever. No rake, no per-game fee, no custody. The app keeps score and never</t>
        </is>
      </c>
    </row>
    <row r="8">
      <c r="B8" s="6" t="inlineStr">
        <is>
          <t xml:space="preserve">    touches the pot: private bets are lawful precisely while no third party takes a fee or holds the</t>
        </is>
      </c>
    </row>
    <row r="9">
      <c r="B9" s="6" t="inlineStr">
        <is>
          <t xml:space="preserve">    stakes (SA statute; US precedent at a 1% commission). Designed from the statute backwards.</t>
        </is>
      </c>
    </row>
    <row r="10">
      <c r="B10" s="6" t="inlineStr">
        <is>
          <t>2 · SUBSCRIPTION — $10/month for access to the app. Organizer-pays: creating games needs a</t>
        </is>
      </c>
    </row>
    <row r="11">
      <c r="B11" s="6" t="inlineStr">
        <is>
          <t xml:space="preserve">    subscription; invited players ride free. Includes no swings; carries no prize risk.</t>
        </is>
      </c>
    </row>
    <row r="12">
      <c r="B12" s="6" t="inlineStr">
        <is>
          <t>3 · INSURED JACKPOT — group-pooled entries on the slip, tiers $1→$500 to $100→$100,000, filmed and</t>
        </is>
      </c>
    </row>
    <row r="13">
      <c r="B13" s="6" t="inlineStr">
        <is>
          <t xml:space="preserve">    verified, prize paid by the insurer. 24% of every entry ceded as premium on the same swing.</t>
        </is>
      </c>
    </row>
    <row r="14">
      <c r="B14" s="6" t="inlineStr">
        <is>
          <t>4 · PEER GMV — money staked between players. An engagement KPI. Revenue: zero, permanently.</t>
        </is>
      </c>
    </row>
    <row r="16">
      <c r="B16" s="7" t="inlineStr">
        <is>
          <t>HEADLINE MILESTONES — flat 3.0× revenue, compressing from the 3.69× the round implies</t>
        </is>
      </c>
    </row>
    <row r="17">
      <c r="B17" s="8" t="inlineStr">
        <is>
          <t>R53.3m (this round)  →  R185.0m (December 2029)  →  R967.8m (2032)</t>
        </is>
      </c>
    </row>
    <row r="19">
      <c r="B19" s="7" t="inlineStr">
        <is>
          <t>WHAT IS HISTORY AND WHAT IS FORECAST</t>
        </is>
      </c>
    </row>
    <row r="20">
      <c r="B20" s="6" t="inlineStr">
        <is>
          <t>Trailing 12 months to Jul 2026 — ACTUAL: 10,000 paid entries, 800 course activations, 60,000 members</t>
        </is>
      </c>
    </row>
    <row r="21">
      <c r="B21" s="6" t="inlineStr">
        <is>
          <t>reached, R4.0m revenue, R9m Santam sponsorship contracted. Everything from 2027 onward is FORECAST.</t>
        </is>
      </c>
    </row>
    <row r="23">
      <c r="B23" s="7" t="inlineStr">
        <is>
          <t>THE DECISIVE ASSUMPTION</t>
        </is>
      </c>
    </row>
    <row r="24">
      <c r="B24" s="6" t="inlineStr">
        <is>
          <t>Jackpot attach on a group slip: 35% base (20% sceptic / 55% bull). A 90-day manual pilot across the</t>
        </is>
      </c>
    </row>
    <row r="25">
      <c r="B25" s="6" t="inlineStr">
        <is>
          <t>25 installed courses measures it before the app ships.</t>
        </is>
      </c>
    </row>
    <row r="27">
      <c r="B27" s="7" t="inlineStr">
        <is>
          <t>HOW TO READ THIS WORKBOOK</t>
        </is>
      </c>
    </row>
    <row r="28">
      <c r="B28" s="6" t="inlineStr">
        <is>
          <t>DASHBOARD — the model on one page: summary tables and charts, all live off the sheets behind them.</t>
        </is>
      </c>
    </row>
    <row r="29">
      <c r="B29" s="6" t="inlineStr">
        <is>
          <t>ASSUMPTIONS — every input, in blue. Change any blue cell and the whole book restates.</t>
        </is>
      </c>
    </row>
    <row r="30">
      <c r="B30" s="6" t="inlineStr">
        <is>
          <t>BUILD (MONTHLY) — the 72-month engine. ANNUAL — calendar-year roll-up. INSURANCE — the Santam</t>
        </is>
      </c>
    </row>
    <row r="31">
      <c r="B31" s="6" t="inlineStr">
        <is>
          <t>submission, unchanged. VALUATION — milestones, investor returns, sensitivity.</t>
        </is>
      </c>
    </row>
    <row r="33">
      <c r="B33" s="6" t="inlineStr">
        <is>
          <t>COLOURS   Blue = input you can change.   Black = calculated.   Gold = headline.</t>
        </is>
      </c>
    </row>
    <row r="35">
      <c r="B35" s="9" t="inlineStr">
        <is>
          <t>NOT YET IN PLACE: the P2P legal opinion, Santam's written sign-off on the peer-game wrapper, and</t>
        </is>
      </c>
    </row>
    <row r="36">
      <c r="B36" s="9" t="inlineStr">
        <is>
          <t>simulator operator agreements — all named gating milestones. No approach made to operators, Aug 2026.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9A94E"/>
    <outlinePr summaryBelow="1" summaryRight="1"/>
    <pageSetUpPr/>
  </sheetPr>
  <dimension ref="B2:H9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2">
      <c r="B2" s="10" t="inlineStr">
        <is>
          <t>GET LUCKY GOLF — THE MODEL ON ONE PAGE</t>
        </is>
      </c>
    </row>
    <row r="3">
      <c r="B3" s="11" t="inlineStr">
        <is>
          <t>Every figure is live off Assumptions and the monthly build. Blue cells on the Assumptions tab restate everything.</t>
        </is>
      </c>
    </row>
    <row r="5">
      <c r="B5" s="12" t="inlineStr">
        <is>
          <t>REVENUE 2029</t>
        </is>
      </c>
      <c r="D5" s="12" t="inlineStr">
        <is>
          <t>EBITDA 2029</t>
        </is>
      </c>
      <c r="F5" s="12" t="inlineStr">
        <is>
          <t>MILESTONE DEC 2029</t>
        </is>
      </c>
    </row>
    <row r="6">
      <c r="B6" s="77">
        <f>Annual!E17</f>
        <v/>
      </c>
      <c r="D6" s="77">
        <f>Annual!E27</f>
        <v/>
      </c>
      <c r="F6" s="77">
        <f>Valuation!D10</f>
        <v/>
      </c>
    </row>
    <row r="8">
      <c r="B8" s="12" t="inlineStr">
        <is>
          <t>INVESTOR MULTIPLE 2029</t>
        </is>
      </c>
      <c r="D8" s="12" t="inlineStr">
        <is>
          <t>PEAK DRAWDOWN</t>
        </is>
      </c>
      <c r="F8" s="12" t="inlineStr">
        <is>
          <t>SUBSCRIBERS 2032</t>
        </is>
      </c>
    </row>
    <row r="9">
      <c r="B9" s="56">
        <f>Valuation!D16</f>
        <v/>
      </c>
      <c r="D9" s="77">
        <f>Valuation!C21</f>
        <v/>
      </c>
      <c r="F9" s="15">
        <f>Annual!H6</f>
        <v/>
      </c>
    </row>
    <row r="12">
      <c r="B12" s="16" t="inlineStr">
        <is>
          <t>REVENUE BY STREAM (ZAR)</t>
        </is>
      </c>
      <c r="C12" s="9" t="inlineStr">
        <is>
          <t>Streams net of third-party shares — the rows add. Peer money in play is a KPI, never revenue.</t>
        </is>
      </c>
    </row>
    <row r="13">
      <c r="B13" s="17" t="n"/>
      <c r="C13" s="17" t="inlineStr">
        <is>
          <t>2027</t>
        </is>
      </c>
      <c r="D13" s="17" t="inlineStr">
        <is>
          <t>2028</t>
        </is>
      </c>
      <c r="E13" s="17" t="inlineStr">
        <is>
          <t>2029</t>
        </is>
      </c>
      <c r="F13" s="17" t="inlineStr">
        <is>
          <t>2030</t>
        </is>
      </c>
      <c r="G13" s="17" t="inlineStr">
        <is>
          <t>2031</t>
        </is>
      </c>
      <c r="H13" s="17" t="inlineStr">
        <is>
          <t>2032</t>
        </is>
      </c>
    </row>
    <row r="14">
      <c r="B14" s="18" t="inlineStr">
        <is>
          <t>Subscriptions</t>
        </is>
      </c>
      <c r="C14" s="57">
        <f>Annual!C12</f>
        <v/>
      </c>
      <c r="D14" s="57">
        <f>Annual!D12</f>
        <v/>
      </c>
      <c r="E14" s="57">
        <f>Annual!E12</f>
        <v/>
      </c>
      <c r="F14" s="57">
        <f>Annual!F12</f>
        <v/>
      </c>
      <c r="G14" s="57">
        <f>Annual!G12</f>
        <v/>
      </c>
      <c r="H14" s="57">
        <f>Annual!H12</f>
        <v/>
      </c>
    </row>
    <row r="15">
      <c r="B15" s="18" t="inlineStr">
        <is>
          <t>Insured jackpot (net)</t>
        </is>
      </c>
      <c r="C15" s="57">
        <f>Annual!C13</f>
        <v/>
      </c>
      <c r="D15" s="57">
        <f>Annual!D13</f>
        <v/>
      </c>
      <c r="E15" s="57">
        <f>Annual!E13</f>
        <v/>
      </c>
      <c r="F15" s="57">
        <f>Annual!F13</f>
        <v/>
      </c>
      <c r="G15" s="57">
        <f>Annual!G13</f>
        <v/>
      </c>
      <c r="H15" s="57">
        <f>Annual!H13</f>
        <v/>
      </c>
    </row>
    <row r="16">
      <c r="B16" s="18" t="inlineStr">
        <is>
          <t>Installed courses</t>
        </is>
      </c>
      <c r="C16" s="57">
        <f>Annual!C14</f>
        <v/>
      </c>
      <c r="D16" s="57">
        <f>Annual!D14</f>
        <v/>
      </c>
      <c r="E16" s="57">
        <f>Annual!E14</f>
        <v/>
      </c>
      <c r="F16" s="57">
        <f>Annual!F14</f>
        <v/>
      </c>
      <c r="G16" s="57">
        <f>Annual!G14</f>
        <v/>
      </c>
      <c r="H16" s="57">
        <f>Annual!H14</f>
        <v/>
      </c>
    </row>
    <row r="17">
      <c r="B17" s="18" t="inlineStr">
        <is>
          <t>Simulators</t>
        </is>
      </c>
      <c r="C17" s="57">
        <f>Annual!C15</f>
        <v/>
      </c>
      <c r="D17" s="57">
        <f>Annual!D15</f>
        <v/>
      </c>
      <c r="E17" s="57">
        <f>Annual!E15</f>
        <v/>
      </c>
      <c r="F17" s="57">
        <f>Annual!F15</f>
        <v/>
      </c>
      <c r="G17" s="57">
        <f>Annual!G15</f>
        <v/>
      </c>
      <c r="H17" s="57">
        <f>Annual!H15</f>
        <v/>
      </c>
    </row>
    <row r="18">
      <c r="B18" s="18" t="inlineStr">
        <is>
          <t>Sponsorship</t>
        </is>
      </c>
      <c r="C18" s="57">
        <f>Annual!C16</f>
        <v/>
      </c>
      <c r="D18" s="57">
        <f>Annual!D16</f>
        <v/>
      </c>
      <c r="E18" s="57">
        <f>Annual!E16</f>
        <v/>
      </c>
      <c r="F18" s="57">
        <f>Annual!F16</f>
        <v/>
      </c>
      <c r="G18" s="57">
        <f>Annual!G16</f>
        <v/>
      </c>
      <c r="H18" s="57">
        <f>Annual!H16</f>
        <v/>
      </c>
    </row>
    <row r="19">
      <c r="B19" s="20" t="inlineStr">
        <is>
          <t>TOTAL</t>
        </is>
      </c>
      <c r="C19" s="58">
        <f>Annual!C17</f>
        <v/>
      </c>
      <c r="D19" s="58">
        <f>Annual!D17</f>
        <v/>
      </c>
      <c r="E19" s="58">
        <f>Annual!E17</f>
        <v/>
      </c>
      <c r="F19" s="58">
        <f>Annual!F17</f>
        <v/>
      </c>
      <c r="G19" s="58">
        <f>Annual!G17</f>
        <v/>
      </c>
      <c r="H19" s="58">
        <f>Annual!H17</f>
        <v/>
      </c>
    </row>
    <row r="22">
      <c r="B22" s="16" t="inlineStr">
        <is>
          <t>PROFITABILITY &amp; CASH (ZAR)</t>
        </is>
      </c>
      <c r="C22" s="9" t="inlineStr">
        <is>
          <t>Costs budgeted line by line. The cumulative-cash trough is the peak drawdown — inside the R8m raise.</t>
        </is>
      </c>
    </row>
    <row r="23">
      <c r="B23" s="17" t="n"/>
      <c r="C23" s="17" t="inlineStr">
        <is>
          <t>2027</t>
        </is>
      </c>
      <c r="D23" s="17" t="inlineStr">
        <is>
          <t>2028</t>
        </is>
      </c>
      <c r="E23" s="17" t="inlineStr">
        <is>
          <t>2029</t>
        </is>
      </c>
      <c r="F23" s="17" t="inlineStr">
        <is>
          <t>2030</t>
        </is>
      </c>
      <c r="G23" s="17" t="inlineStr">
        <is>
          <t>2031</t>
        </is>
      </c>
      <c r="H23" s="17" t="inlineStr">
        <is>
          <t>2032</t>
        </is>
      </c>
    </row>
    <row r="24">
      <c r="B24" s="18" t="inlineStr">
        <is>
          <t>Total cost</t>
        </is>
      </c>
      <c r="C24" s="57">
        <f>Annual!C25</f>
        <v/>
      </c>
      <c r="D24" s="57">
        <f>Annual!D25</f>
        <v/>
      </c>
      <c r="E24" s="57">
        <f>Annual!E25</f>
        <v/>
      </c>
      <c r="F24" s="57">
        <f>Annual!F25</f>
        <v/>
      </c>
      <c r="G24" s="57">
        <f>Annual!G25</f>
        <v/>
      </c>
      <c r="H24" s="57">
        <f>Annual!H25</f>
        <v/>
      </c>
    </row>
    <row r="25">
      <c r="B25" s="20" t="inlineStr">
        <is>
          <t>EBITDA</t>
        </is>
      </c>
      <c r="C25" s="58">
        <f>Annual!C27</f>
        <v/>
      </c>
      <c r="D25" s="58">
        <f>Annual!D27</f>
        <v/>
      </c>
      <c r="E25" s="58">
        <f>Annual!E27</f>
        <v/>
      </c>
      <c r="F25" s="58">
        <f>Annual!F27</f>
        <v/>
      </c>
      <c r="G25" s="58">
        <f>Annual!G27</f>
        <v/>
      </c>
      <c r="H25" s="58">
        <f>Annual!H27</f>
        <v/>
      </c>
    </row>
    <row r="26">
      <c r="B26" s="18" t="inlineStr">
        <is>
          <t>EBITDA margin</t>
        </is>
      </c>
      <c r="C26" s="59">
        <f>Annual!C28</f>
        <v/>
      </c>
      <c r="D26" s="59">
        <f>Annual!D28</f>
        <v/>
      </c>
      <c r="E26" s="59">
        <f>Annual!E28</f>
        <v/>
      </c>
      <c r="F26" s="59">
        <f>Annual!F28</f>
        <v/>
      </c>
      <c r="G26" s="59">
        <f>Annual!G28</f>
        <v/>
      </c>
      <c r="H26" s="59">
        <f>Annual!H28</f>
        <v/>
      </c>
    </row>
    <row r="27">
      <c r="B27" s="18" t="inlineStr">
        <is>
          <t>Free cash flow</t>
        </is>
      </c>
      <c r="C27" s="57">
        <f>Annual!C31</f>
        <v/>
      </c>
      <c r="D27" s="57">
        <f>Annual!D31</f>
        <v/>
      </c>
      <c r="E27" s="57">
        <f>Annual!E31</f>
        <v/>
      </c>
      <c r="F27" s="57">
        <f>Annual!F31</f>
        <v/>
      </c>
      <c r="G27" s="57">
        <f>Annual!G31</f>
        <v/>
      </c>
      <c r="H27" s="57">
        <f>Annual!H31</f>
        <v/>
      </c>
    </row>
    <row r="28">
      <c r="B28" s="20" t="inlineStr">
        <is>
          <t>Cumulative cash</t>
        </is>
      </c>
      <c r="C28" s="57">
        <f>Annual!C32</f>
        <v/>
      </c>
      <c r="D28" s="57">
        <f>Annual!D32</f>
        <v/>
      </c>
      <c r="E28" s="57">
        <f>Annual!E32</f>
        <v/>
      </c>
      <c r="F28" s="57">
        <f>Annual!F32</f>
        <v/>
      </c>
      <c r="G28" s="57">
        <f>Annual!G32</f>
        <v/>
      </c>
      <c r="H28" s="57">
        <f>Annual!H32</f>
        <v/>
      </c>
    </row>
    <row r="31">
      <c r="B31" s="16" t="inlineStr">
        <is>
          <t>VALUATION &amp; THE INVESTOR</t>
        </is>
      </c>
      <c r="E31" s="9" t="inlineStr">
        <is>
          <t>Flat 3.0× revenue at every forward milestone, compressing from the 3.69× this round implies.</t>
        </is>
      </c>
    </row>
    <row r="32">
      <c r="B32" s="17" t="n"/>
      <c r="C32" s="17" t="inlineStr">
        <is>
          <t>This round</t>
        </is>
      </c>
      <c r="D32" s="17" t="inlineStr">
        <is>
          <t>Dec 2029</t>
        </is>
      </c>
      <c r="E32" s="17" t="inlineStr">
        <is>
          <t>2032</t>
        </is>
      </c>
    </row>
    <row r="33">
      <c r="B33" s="20" t="inlineStr">
        <is>
          <t>Valuation milestone</t>
        </is>
      </c>
      <c r="C33" s="60">
        <f>Valuation!C10</f>
        <v/>
      </c>
      <c r="D33" s="60">
        <f>Valuation!D10</f>
        <v/>
      </c>
      <c r="E33" s="60">
        <f>Valuation!E10</f>
        <v/>
      </c>
    </row>
    <row r="34">
      <c r="B34" s="18" t="inlineStr">
        <is>
          <t>Multiple on the R8m ticket</t>
        </is>
      </c>
      <c r="D34" s="61">
        <f>Valuation!D16</f>
        <v/>
      </c>
      <c r="E34" s="61">
        <f>Valuation!E16</f>
        <v/>
      </c>
    </row>
    <row r="35">
      <c r="B35" s="18" t="inlineStr">
        <is>
          <t>IRR to Dec 2029</t>
        </is>
      </c>
      <c r="D35" s="62">
        <f>Valuation!D17</f>
        <v/>
      </c>
    </row>
    <row r="37">
      <c r="B37" s="9" t="inlineStr">
        <is>
          <t>Use of funds: App 25% · Ops &amp; Team 25% · Market &amp; brand 25% · Simulators 15% · Pilot 10%.</t>
        </is>
      </c>
    </row>
    <row r="38">
      <c r="B38" s="9" t="inlineStr">
        <is>
          <t>Unrealised marks on a private holding, not realised returns. Peer GMV revenue: zero, permanently.</t>
        </is>
      </c>
    </row>
    <row r="88">
      <c r="B88" s="78" t="inlineStr">
        <is>
          <t>CHART DATA (calculated — do not edit)</t>
        </is>
      </c>
    </row>
    <row r="89">
      <c r="B89" s="26" t="inlineStr">
        <is>
          <t>App build</t>
        </is>
      </c>
      <c r="C89" s="26" t="n">
        <v>25</v>
      </c>
    </row>
    <row r="90">
      <c r="B90" s="26" t="inlineStr">
        <is>
          <t>Ops &amp; Team</t>
        </is>
      </c>
      <c r="C90" s="26" t="n">
        <v>25</v>
      </c>
    </row>
    <row r="91">
      <c r="B91" s="26" t="inlineStr">
        <is>
          <t>Market &amp; brand</t>
        </is>
      </c>
      <c r="C91" s="26" t="n">
        <v>25</v>
      </c>
    </row>
    <row r="92">
      <c r="B92" s="26" t="inlineStr">
        <is>
          <t>Simulators</t>
        </is>
      </c>
      <c r="C92" s="26" t="n">
        <v>15</v>
      </c>
    </row>
    <row r="93">
      <c r="B93" s="26" t="inlineStr">
        <is>
          <t>Pilot</t>
        </is>
      </c>
      <c r="C93" s="26" t="n">
        <v>10</v>
      </c>
    </row>
    <row r="95">
      <c r="B95" s="26" t="inlineStr">
        <is>
          <t>This round</t>
        </is>
      </c>
      <c r="C95" s="26">
        <f>Valuation!C10</f>
        <v/>
      </c>
    </row>
    <row r="96">
      <c r="B96" s="26" t="inlineStr">
        <is>
          <t>Dec 2029</t>
        </is>
      </c>
      <c r="C96" s="26">
        <f>Valuation!D10</f>
        <v/>
      </c>
    </row>
    <row r="97">
      <c r="B97" s="26" t="inlineStr">
        <is>
          <t>2032</t>
        </is>
      </c>
      <c r="C97" s="26">
        <f>Valuation!E10</f>
        <v/>
      </c>
    </row>
  </sheetData>
  <mergeCells count="12">
    <mergeCell ref="D8:E8"/>
    <mergeCell ref="D6:E6"/>
    <mergeCell ref="B6:C6"/>
    <mergeCell ref="B5:C5"/>
    <mergeCell ref="F5:G5"/>
    <mergeCell ref="D5:E5"/>
    <mergeCell ref="F6:G6"/>
    <mergeCell ref="B9:C9"/>
    <mergeCell ref="D9:E9"/>
    <mergeCell ref="B8:C8"/>
    <mergeCell ref="F9:G9"/>
    <mergeCell ref="F8:G8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C9A94E"/>
    <outlinePr summaryBelow="1" summaryRight="1"/>
    <pageSetUpPr/>
  </sheetPr>
  <dimension ref="B2:D4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0" customWidth="1" min="2" max="2"/>
    <col width="14" customWidth="1" min="3" max="3"/>
    <col width="88" customWidth="1" min="4" max="4"/>
  </cols>
  <sheetData>
    <row r="2">
      <c r="B2" s="27" t="inlineStr">
        <is>
          <t>ASSUMPTIONS</t>
        </is>
      </c>
    </row>
    <row r="3">
      <c r="B3" s="11" t="inlineStr">
        <is>
          <t>Every input in the book, in blue — change any blue cell and the whole workbook restates. The pitch site and dataroom quote this sheet at these values.</t>
        </is>
      </c>
    </row>
    <row r="5">
      <c r="B5" s="16" t="inlineStr">
        <is>
          <t>DEAL</t>
        </is>
      </c>
    </row>
    <row r="6">
      <c r="B6" s="6" t="inlineStr">
        <is>
          <t>ZAR per USD</t>
        </is>
      </c>
      <c r="C6" s="63" t="n">
        <v>18.5</v>
      </c>
      <c r="D6" s="9" t="inlineStr">
        <is>
          <t>FX assumption</t>
        </is>
      </c>
    </row>
    <row r="7">
      <c r="B7" s="6" t="inlineStr">
        <is>
          <t>Raise (ZAR)</t>
        </is>
      </c>
      <c r="C7" s="64" t="n">
        <v>8000000</v>
      </c>
    </row>
    <row r="8">
      <c r="B8" s="6" t="inlineStr">
        <is>
          <t>Equity offered</t>
        </is>
      </c>
      <c r="C8" s="30" t="n">
        <v>0.15</v>
      </c>
      <c r="D8" s="9" t="inlineStr">
        <is>
          <t>15% — the founder's term. Ernie Els holds a founding 5%, non-diluting, for name, likeness &amp; network.</t>
        </is>
      </c>
    </row>
    <row r="9">
      <c r="B9" s="6" t="inlineStr">
        <is>
          <t>Post-money (ZAR)</t>
        </is>
      </c>
      <c r="C9" s="65">
        <f>C7/C8</f>
        <v/>
      </c>
      <c r="D9" s="9" t="inlineStr">
        <is>
          <t>R53.3m; pre R45.3m</t>
        </is>
      </c>
    </row>
    <row r="11">
      <c r="B11" s="16" t="inlineStr">
        <is>
          <t>SUBSCRIBERS (ORGANIZERS)</t>
        </is>
      </c>
    </row>
    <row r="12">
      <c r="B12" s="6" t="inlineStr">
        <is>
          <t>Conversion target at launch</t>
        </is>
      </c>
      <c r="C12" s="32" t="n">
        <v>2000</v>
      </c>
      <c r="D12" s="9" t="inlineStr">
        <is>
          <t>Converted from the 60,000 members reached — ramped over 6 months from ZERO</t>
        </is>
      </c>
    </row>
    <row r="13">
      <c r="B13" s="6" t="inlineStr">
        <is>
          <t>Conversion ramp (months)</t>
        </is>
      </c>
      <c r="C13" s="33" t="n">
        <v>6</v>
      </c>
    </row>
    <row r="14">
      <c r="B14" s="6" t="inlineStr">
        <is>
          <t>Gross monthly growth — Year 1</t>
        </is>
      </c>
      <c r="C14" s="66" t="n">
        <v>0.13</v>
      </c>
      <c r="D14" s="9" t="inlineStr">
        <is>
          <t>Aggressive build — invite loop + paid marketing; founder-set 100k subscribers by 2032</t>
        </is>
      </c>
    </row>
    <row r="15">
      <c r="B15" s="6" t="inlineStr">
        <is>
          <t>Gross monthly growth — Year 2</t>
        </is>
      </c>
      <c r="C15" s="66" t="n">
        <v>0.12</v>
      </c>
    </row>
    <row r="16">
      <c r="B16" s="6" t="inlineStr">
        <is>
          <t>Gross monthly growth — Year 3</t>
        </is>
      </c>
      <c r="C16" s="66" t="n">
        <v>0.11</v>
      </c>
    </row>
    <row r="17">
      <c r="B17" s="6" t="inlineStr">
        <is>
          <t>Gross monthly growth — Year 4+</t>
        </is>
      </c>
      <c r="C17" s="66" t="n">
        <v>0.109</v>
      </c>
      <c r="D17" s="9" t="inlineStr">
        <is>
          <t>Long-term net ~1.8% + churn</t>
        </is>
      </c>
    </row>
    <row r="18">
      <c r="B18" s="6" t="inlineStr">
        <is>
          <t>Monthly churn</t>
        </is>
      </c>
      <c r="C18" s="66" t="n">
        <v>0.055</v>
      </c>
      <c r="D18" s="9" t="inlineStr">
        <is>
          <t>Struck deliberately hard — defended by group lock-in and the season ledger</t>
        </is>
      </c>
    </row>
    <row r="19">
      <c r="B19" s="6" t="inlineStr">
        <is>
          <t>Subscription (USD / month)</t>
        </is>
      </c>
      <c r="C19" s="67" t="n">
        <v>10</v>
      </c>
      <c r="D19" s="9" t="inlineStr">
        <is>
          <t>For ACCESS TO THE APP. No swings included. No prize risk.</t>
        </is>
      </c>
    </row>
    <row r="21">
      <c r="B21" s="16" t="inlineStr">
        <is>
          <t>THE GAME LAYER</t>
        </is>
      </c>
    </row>
    <row r="22">
      <c r="B22" s="6" t="inlineStr">
        <is>
          <t>Active players per subscriber</t>
        </is>
      </c>
      <c r="C22" s="63" t="n">
        <v>2.8</v>
      </c>
      <c r="D22" s="9" t="inlineStr">
        <is>
          <t>The fourball multiplier (2.2 sceptic / 3.4 bull)</t>
        </is>
      </c>
    </row>
    <row r="23">
      <c r="B23" s="6" t="inlineStr">
        <is>
          <t>Money rounds per active per month</t>
        </is>
      </c>
      <c r="C23" s="63" t="n">
        <v>1</v>
      </c>
    </row>
    <row r="24">
      <c r="B24" s="6" t="inlineStr">
        <is>
          <t>Players per slip</t>
        </is>
      </c>
      <c r="C24" s="33" t="n">
        <v>4</v>
      </c>
    </row>
    <row r="25">
      <c r="B25" s="6" t="inlineStr">
        <is>
          <t>Average peer pot per slip (USD)</t>
        </is>
      </c>
      <c r="C25" s="67" t="n">
        <v>40</v>
      </c>
      <c r="D25" s="9" t="inlineStr">
        <is>
          <t>KPI ONLY — Get Lucky's share of peer money is ZERO, permanently</t>
        </is>
      </c>
    </row>
    <row r="27">
      <c r="B27" s="16" t="inlineStr">
        <is>
          <t>THE INSURED JACKPOT</t>
        </is>
      </c>
    </row>
    <row r="28">
      <c r="B28" s="6" t="inlineStr">
        <is>
          <t>Jackpot attach (% of slips)</t>
        </is>
      </c>
      <c r="C28" s="30" t="n">
        <v>0.35</v>
      </c>
      <c r="D28" s="9" t="inlineStr">
        <is>
          <t>THE decisive assumption — measured by the 90-day pilot</t>
        </is>
      </c>
    </row>
    <row r="29">
      <c r="B29" s="6" t="inlineStr">
        <is>
          <t>Average ticket per player (USD)</t>
        </is>
      </c>
      <c r="C29" s="67" t="n">
        <v>10</v>
      </c>
      <c r="D29" s="9" t="inlineStr">
        <is>
          <t>Across the $1–$100 ladder</t>
        </is>
      </c>
    </row>
    <row r="30">
      <c r="B30" s="6" t="inlineStr">
        <is>
          <t>Get Lucky net share of entries</t>
        </is>
      </c>
      <c r="C30" s="30" t="n">
        <v>0.66</v>
      </c>
      <c r="D30" s="9" t="inlineStr">
        <is>
          <t>After 24% premium and venue share</t>
        </is>
      </c>
    </row>
    <row r="31">
      <c r="B31" s="6" t="inlineStr">
        <is>
          <t>Insurance premium (% of entry)</t>
        </is>
      </c>
      <c r="C31" s="30" t="n">
        <v>0.24</v>
      </c>
      <c r="D31" s="9" t="inlineStr">
        <is>
          <t>Ceded on the same swing that creates the risk</t>
        </is>
      </c>
    </row>
    <row r="32">
      <c r="B32" s="6" t="inlineStr">
        <is>
          <t>Submission loss ratio</t>
        </is>
      </c>
      <c r="C32" s="66" t="n">
        <v>0.319</v>
      </c>
      <c r="D32" s="9" t="inlineStr">
        <is>
          <t>Santam submission: $17 wavg entry, $4.08 premium, $1.30 claim, 2.51x breakeven</t>
        </is>
      </c>
    </row>
    <row r="34">
      <c r="B34" s="16" t="inlineStr">
        <is>
          <t>INSTALLED COURSES</t>
        </is>
      </c>
    </row>
    <row r="35">
      <c r="B35" s="6" t="inlineStr">
        <is>
          <t>Courses installed today</t>
        </is>
      </c>
      <c r="C35" s="33" t="n">
        <v>25</v>
      </c>
      <c r="D35" s="9" t="inlineStr">
        <is>
          <t>The 25 flagship jackpot holes</t>
        </is>
      </c>
    </row>
    <row r="36">
      <c r="B36" s="6" t="inlineStr">
        <is>
          <t>Courses added per year</t>
        </is>
      </c>
      <c r="C36" s="33" t="n">
        <v>25</v>
      </c>
    </row>
    <row r="37">
      <c r="B37" s="6" t="inlineStr">
        <is>
          <t>Entries per course per year</t>
        </is>
      </c>
      <c r="C37" s="32" t="n">
        <v>400</v>
      </c>
    </row>
    <row r="38">
      <c r="B38" s="6" t="inlineStr">
        <is>
          <t>Average entry (ZAR)</t>
        </is>
      </c>
      <c r="C38" s="64" t="n">
        <v>150</v>
      </c>
      <c r="D38" s="9" t="inlineStr">
        <is>
          <t>Realised across 10,000 trailing entries</t>
        </is>
      </c>
    </row>
    <row r="39">
      <c r="B39" s="6" t="inlineStr">
        <is>
          <t>Get Lucky share</t>
        </is>
      </c>
      <c r="C39" s="30" t="n">
        <v>0.66</v>
      </c>
    </row>
    <row r="41">
      <c r="B41" s="16" t="inlineStr">
        <is>
          <t>COSTS</t>
        </is>
      </c>
    </row>
    <row r="42">
      <c r="B42" s="6" t="inlineStr">
        <is>
          <t>Payment processing (% of gross collections)</t>
        </is>
      </c>
      <c r="C42" s="66" t="n">
        <v>0.03</v>
      </c>
    </row>
    <row r="43">
      <c r="B43" s="6" t="inlineStr">
        <is>
          <t>Verification (USD per INSURED swing)</t>
        </is>
      </c>
      <c r="C43" s="68" t="n">
        <v>0.5</v>
      </c>
      <c r="D43" s="9" t="inlineStr">
        <is>
          <t>Peer games verify themselves — zero verification cost</t>
        </is>
      </c>
    </row>
    <row r="44">
      <c r="B44" s="6" t="inlineStr">
        <is>
          <t>CAC (USD per gross new ORGANIZER)</t>
        </is>
      </c>
      <c r="C44" s="67" t="n">
        <v>24</v>
      </c>
      <c r="D44" s="9" t="inlineStr">
        <is>
          <t>CAC per gross new organizer</t>
        </is>
      </c>
    </row>
    <row r="45">
      <c r="B45" s="6" t="inlineStr">
        <is>
          <t>Brand &amp; retention (% of revenue)</t>
        </is>
      </c>
      <c r="C45" s="30" t="n">
        <v>0.15</v>
      </c>
      <c r="D45" s="9" t="inlineStr">
        <is>
          <t>A global consumer build spends hard on brand</t>
        </is>
      </c>
    </row>
    <row r="47">
      <c r="B47" s="16" t="inlineStr">
        <is>
          <t>VALUATION</t>
        </is>
      </c>
    </row>
    <row r="48">
      <c r="B48" s="6" t="inlineStr">
        <is>
          <t>Revenue multiple — every forward milestone</t>
        </is>
      </c>
      <c r="C48" s="69" t="n">
        <v>3</v>
      </c>
      <c r="D48" s="9" t="inlineStr">
        <is>
          <t>Flat. The round implies 3.77x on 2027, so it compresses.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FC089"/>
    <outlinePr summaryBelow="1" summaryRight="1"/>
    <pageSetUpPr/>
  </sheetPr>
  <dimension ref="B2:BV31"/>
  <sheetViews>
    <sheetView showGridLines="0"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34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9.5" customWidth="1" min="20" max="20"/>
    <col width="9.5" customWidth="1" min="21" max="21"/>
    <col width="9.5" customWidth="1" min="22" max="22"/>
    <col width="9.5" customWidth="1" min="23" max="23"/>
    <col width="9.5" customWidth="1" min="24" max="24"/>
    <col width="9.5" customWidth="1" min="25" max="25"/>
    <col width="9.5" customWidth="1" min="26" max="26"/>
    <col width="9.5" customWidth="1" min="27" max="27"/>
    <col width="9.5" customWidth="1" min="28" max="28"/>
    <col width="9.5" customWidth="1" min="29" max="29"/>
    <col width="9.5" customWidth="1" min="30" max="30"/>
    <col width="9.5" customWidth="1" min="31" max="31"/>
    <col width="9.5" customWidth="1" min="32" max="32"/>
    <col width="9.5" customWidth="1" min="33" max="33"/>
    <col width="9.5" customWidth="1" min="34" max="34"/>
    <col width="9.5" customWidth="1" min="35" max="35"/>
    <col width="9.5" customWidth="1" min="36" max="36"/>
    <col width="9.5" customWidth="1" min="37" max="37"/>
    <col width="9.5" customWidth="1" min="38" max="38"/>
    <col width="9.5" customWidth="1" min="39" max="39"/>
    <col width="9.5" customWidth="1" min="40" max="40"/>
    <col width="9.5" customWidth="1" min="41" max="41"/>
    <col width="9.5" customWidth="1" min="42" max="42"/>
    <col width="9.5" customWidth="1" min="43" max="43"/>
    <col width="9.5" customWidth="1" min="44" max="44"/>
    <col width="9.5" customWidth="1" min="45" max="45"/>
    <col width="9.5" customWidth="1" min="46" max="46"/>
    <col width="9.5" customWidth="1" min="47" max="47"/>
    <col width="9.5" customWidth="1" min="48" max="48"/>
    <col width="9.5" customWidth="1" min="49" max="49"/>
    <col width="9.5" customWidth="1" min="50" max="50"/>
    <col width="9.5" customWidth="1" min="51" max="51"/>
    <col width="9.5" customWidth="1" min="52" max="52"/>
    <col width="9.5" customWidth="1" min="53" max="53"/>
    <col width="9.5" customWidth="1" min="54" max="54"/>
    <col width="9.5" customWidth="1" min="55" max="55"/>
    <col width="9.5" customWidth="1" min="56" max="56"/>
    <col width="9.5" customWidth="1" min="57" max="57"/>
    <col width="9.5" customWidth="1" min="58" max="58"/>
    <col width="9.5" customWidth="1" min="59" max="59"/>
    <col width="9.5" customWidth="1" min="60" max="60"/>
    <col width="9.5" customWidth="1" min="61" max="61"/>
    <col width="9.5" customWidth="1" min="62" max="62"/>
    <col width="9.5" customWidth="1" min="63" max="63"/>
    <col width="9.5" customWidth="1" min="64" max="64"/>
    <col width="9.5" customWidth="1" min="65" max="65"/>
    <col width="9.5" customWidth="1" min="66" max="66"/>
    <col width="9.5" customWidth="1" min="67" max="67"/>
    <col width="9.5" customWidth="1" min="68" max="68"/>
    <col width="9.5" customWidth="1" min="69" max="69"/>
    <col width="9.5" customWidth="1" min="70" max="70"/>
    <col width="9.5" customWidth="1" min="71" max="71"/>
    <col width="9.5" customWidth="1" min="72" max="72"/>
    <col width="9.5" customWidth="1" min="73" max="73"/>
    <col width="9.5" customWidth="1" min="74" max="74"/>
  </cols>
  <sheetData>
    <row r="2">
      <c r="B2" s="27" t="inlineStr">
        <is>
          <t>72-MONTH BUILD — Jan 2027 to Dec 2032</t>
        </is>
      </c>
    </row>
    <row r="3">
      <c r="B3" s="11" t="inlineStr">
        <is>
          <t>The 72-month engine: subscribers from zero (Jan 2027) → actives → money slips → jackpot entries and peer GMV, month by month. Every other sheet reads from here. Milestone is month 36 (Dec 2029).</t>
        </is>
      </c>
    </row>
    <row r="5">
      <c r="B5" s="38" t="inlineStr">
        <is>
          <t>Month</t>
        </is>
      </c>
      <c r="C5" s="39" t="n">
        <v>1</v>
      </c>
      <c r="D5" s="39" t="n">
        <v>2</v>
      </c>
      <c r="E5" s="39" t="n">
        <v>3</v>
      </c>
      <c r="F5" s="39" t="n">
        <v>4</v>
      </c>
      <c r="G5" s="39" t="n">
        <v>5</v>
      </c>
      <c r="H5" s="39" t="n">
        <v>6</v>
      </c>
      <c r="I5" s="39" t="n">
        <v>7</v>
      </c>
      <c r="J5" s="39" t="n">
        <v>8</v>
      </c>
      <c r="K5" s="39" t="n">
        <v>9</v>
      </c>
      <c r="L5" s="39" t="n">
        <v>10</v>
      </c>
      <c r="M5" s="39" t="n">
        <v>11</v>
      </c>
      <c r="N5" s="39" t="n">
        <v>12</v>
      </c>
      <c r="O5" s="39" t="n">
        <v>13</v>
      </c>
      <c r="P5" s="39" t="n">
        <v>14</v>
      </c>
      <c r="Q5" s="39" t="n">
        <v>15</v>
      </c>
      <c r="R5" s="39" t="n">
        <v>16</v>
      </c>
      <c r="S5" s="39" t="n">
        <v>17</v>
      </c>
      <c r="T5" s="39" t="n">
        <v>18</v>
      </c>
      <c r="U5" s="39" t="n">
        <v>19</v>
      </c>
      <c r="V5" s="39" t="n">
        <v>20</v>
      </c>
      <c r="W5" s="39" t="n">
        <v>21</v>
      </c>
      <c r="X5" s="39" t="n">
        <v>22</v>
      </c>
      <c r="Y5" s="39" t="n">
        <v>23</v>
      </c>
      <c r="Z5" s="39" t="n">
        <v>24</v>
      </c>
      <c r="AA5" s="39" t="n">
        <v>25</v>
      </c>
      <c r="AB5" s="39" t="n">
        <v>26</v>
      </c>
      <c r="AC5" s="39" t="n">
        <v>27</v>
      </c>
      <c r="AD5" s="39" t="n">
        <v>28</v>
      </c>
      <c r="AE5" s="39" t="n">
        <v>29</v>
      </c>
      <c r="AF5" s="39" t="n">
        <v>30</v>
      </c>
      <c r="AG5" s="39" t="n">
        <v>31</v>
      </c>
      <c r="AH5" s="39" t="n">
        <v>32</v>
      </c>
      <c r="AI5" s="39" t="n">
        <v>33</v>
      </c>
      <c r="AJ5" s="39" t="n">
        <v>34</v>
      </c>
      <c r="AK5" s="39" t="n">
        <v>35</v>
      </c>
      <c r="AL5" s="39" t="n">
        <v>36</v>
      </c>
      <c r="AM5" s="39" t="n">
        <v>37</v>
      </c>
      <c r="AN5" s="39" t="n">
        <v>38</v>
      </c>
      <c r="AO5" s="39" t="n">
        <v>39</v>
      </c>
      <c r="AP5" s="39" t="n">
        <v>40</v>
      </c>
      <c r="AQ5" s="39" t="n">
        <v>41</v>
      </c>
      <c r="AR5" s="39" t="n">
        <v>42</v>
      </c>
      <c r="AS5" s="39" t="n">
        <v>43</v>
      </c>
      <c r="AT5" s="39" t="n">
        <v>44</v>
      </c>
      <c r="AU5" s="39" t="n">
        <v>45</v>
      </c>
      <c r="AV5" s="39" t="n">
        <v>46</v>
      </c>
      <c r="AW5" s="39" t="n">
        <v>47</v>
      </c>
      <c r="AX5" s="39" t="n">
        <v>48</v>
      </c>
      <c r="AY5" s="39" t="n">
        <v>49</v>
      </c>
      <c r="AZ5" s="39" t="n">
        <v>50</v>
      </c>
      <c r="BA5" s="39" t="n">
        <v>51</v>
      </c>
      <c r="BB5" s="39" t="n">
        <v>52</v>
      </c>
      <c r="BC5" s="39" t="n">
        <v>53</v>
      </c>
      <c r="BD5" s="39" t="n">
        <v>54</v>
      </c>
      <c r="BE5" s="39" t="n">
        <v>55</v>
      </c>
      <c r="BF5" s="39" t="n">
        <v>56</v>
      </c>
      <c r="BG5" s="39" t="n">
        <v>57</v>
      </c>
      <c r="BH5" s="39" t="n">
        <v>58</v>
      </c>
      <c r="BI5" s="39" t="n">
        <v>59</v>
      </c>
      <c r="BJ5" s="39" t="n">
        <v>60</v>
      </c>
      <c r="BK5" s="39" t="n">
        <v>61</v>
      </c>
      <c r="BL5" s="39" t="n">
        <v>62</v>
      </c>
      <c r="BM5" s="39" t="n">
        <v>63</v>
      </c>
      <c r="BN5" s="39" t="n">
        <v>64</v>
      </c>
      <c r="BO5" s="39" t="n">
        <v>65</v>
      </c>
      <c r="BP5" s="39" t="n">
        <v>66</v>
      </c>
      <c r="BQ5" s="39" t="n">
        <v>67</v>
      </c>
      <c r="BR5" s="39" t="n">
        <v>68</v>
      </c>
      <c r="BS5" s="39" t="n">
        <v>69</v>
      </c>
      <c r="BT5" s="39" t="n">
        <v>70</v>
      </c>
      <c r="BU5" s="39" t="n">
        <v>71</v>
      </c>
      <c r="BV5" s="39" t="n">
        <v>72</v>
      </c>
    </row>
    <row r="6">
      <c r="B6" s="38" t="inlineStr">
        <is>
          <t>Calendar year</t>
        </is>
      </c>
      <c r="C6" s="39" t="n">
        <v>2027</v>
      </c>
      <c r="D6" s="39" t="n">
        <v>2027</v>
      </c>
      <c r="E6" s="39" t="n">
        <v>2027</v>
      </c>
      <c r="F6" s="39" t="n">
        <v>2027</v>
      </c>
      <c r="G6" s="39" t="n">
        <v>2027</v>
      </c>
      <c r="H6" s="39" t="n">
        <v>2027</v>
      </c>
      <c r="I6" s="39" t="n">
        <v>2027</v>
      </c>
      <c r="J6" s="39" t="n">
        <v>2027</v>
      </c>
      <c r="K6" s="39" t="n">
        <v>2027</v>
      </c>
      <c r="L6" s="39" t="n">
        <v>2027</v>
      </c>
      <c r="M6" s="39" t="n">
        <v>2027</v>
      </c>
      <c r="N6" s="39" t="n">
        <v>2027</v>
      </c>
      <c r="O6" s="39" t="n">
        <v>2028</v>
      </c>
      <c r="P6" s="39" t="n">
        <v>2028</v>
      </c>
      <c r="Q6" s="39" t="n">
        <v>2028</v>
      </c>
      <c r="R6" s="39" t="n">
        <v>2028</v>
      </c>
      <c r="S6" s="39" t="n">
        <v>2028</v>
      </c>
      <c r="T6" s="39" t="n">
        <v>2028</v>
      </c>
      <c r="U6" s="39" t="n">
        <v>2028</v>
      </c>
      <c r="V6" s="39" t="n">
        <v>2028</v>
      </c>
      <c r="W6" s="39" t="n">
        <v>2028</v>
      </c>
      <c r="X6" s="39" t="n">
        <v>2028</v>
      </c>
      <c r="Y6" s="39" t="n">
        <v>2028</v>
      </c>
      <c r="Z6" s="39" t="n">
        <v>2028</v>
      </c>
      <c r="AA6" s="39" t="n">
        <v>2029</v>
      </c>
      <c r="AB6" s="39" t="n">
        <v>2029</v>
      </c>
      <c r="AC6" s="39" t="n">
        <v>2029</v>
      </c>
      <c r="AD6" s="39" t="n">
        <v>2029</v>
      </c>
      <c r="AE6" s="39" t="n">
        <v>2029</v>
      </c>
      <c r="AF6" s="39" t="n">
        <v>2029</v>
      </c>
      <c r="AG6" s="39" t="n">
        <v>2029</v>
      </c>
      <c r="AH6" s="39" t="n">
        <v>2029</v>
      </c>
      <c r="AI6" s="39" t="n">
        <v>2029</v>
      </c>
      <c r="AJ6" s="39" t="n">
        <v>2029</v>
      </c>
      <c r="AK6" s="39" t="n">
        <v>2029</v>
      </c>
      <c r="AL6" s="39" t="n">
        <v>2029</v>
      </c>
      <c r="AM6" s="39" t="n">
        <v>2030</v>
      </c>
      <c r="AN6" s="39" t="n">
        <v>2030</v>
      </c>
      <c r="AO6" s="39" t="n">
        <v>2030</v>
      </c>
      <c r="AP6" s="39" t="n">
        <v>2030</v>
      </c>
      <c r="AQ6" s="39" t="n">
        <v>2030</v>
      </c>
      <c r="AR6" s="39" t="n">
        <v>2030</v>
      </c>
      <c r="AS6" s="39" t="n">
        <v>2030</v>
      </c>
      <c r="AT6" s="39" t="n">
        <v>2030</v>
      </c>
      <c r="AU6" s="39" t="n">
        <v>2030</v>
      </c>
      <c r="AV6" s="39" t="n">
        <v>2030</v>
      </c>
      <c r="AW6" s="39" t="n">
        <v>2030</v>
      </c>
      <c r="AX6" s="39" t="n">
        <v>2030</v>
      </c>
      <c r="AY6" s="39" t="n">
        <v>2031</v>
      </c>
      <c r="AZ6" s="39" t="n">
        <v>2031</v>
      </c>
      <c r="BA6" s="39" t="n">
        <v>2031</v>
      </c>
      <c r="BB6" s="39" t="n">
        <v>2031</v>
      </c>
      <c r="BC6" s="39" t="n">
        <v>2031</v>
      </c>
      <c r="BD6" s="39" t="n">
        <v>2031</v>
      </c>
      <c r="BE6" s="39" t="n">
        <v>2031</v>
      </c>
      <c r="BF6" s="39" t="n">
        <v>2031</v>
      </c>
      <c r="BG6" s="39" t="n">
        <v>2031</v>
      </c>
      <c r="BH6" s="39" t="n">
        <v>2031</v>
      </c>
      <c r="BI6" s="39" t="n">
        <v>2031</v>
      </c>
      <c r="BJ6" s="39" t="n">
        <v>2031</v>
      </c>
      <c r="BK6" s="39" t="n">
        <v>2032</v>
      </c>
      <c r="BL6" s="39" t="n">
        <v>2032</v>
      </c>
      <c r="BM6" s="39" t="n">
        <v>2032</v>
      </c>
      <c r="BN6" s="39" t="n">
        <v>2032</v>
      </c>
      <c r="BO6" s="39" t="n">
        <v>2032</v>
      </c>
      <c r="BP6" s="39" t="n">
        <v>2032</v>
      </c>
      <c r="BQ6" s="39" t="n">
        <v>2032</v>
      </c>
      <c r="BR6" s="39" t="n">
        <v>2032</v>
      </c>
      <c r="BS6" s="39" t="n">
        <v>2032</v>
      </c>
      <c r="BT6" s="39" t="n">
        <v>2032</v>
      </c>
      <c r="BU6" s="39" t="n">
        <v>2032</v>
      </c>
      <c r="BV6" s="39" t="n">
        <v>2032</v>
      </c>
    </row>
    <row r="7">
      <c r="B7" s="38" t="inlineStr">
        <is>
          <t>Year index</t>
        </is>
      </c>
      <c r="C7" s="40" t="n">
        <v>1</v>
      </c>
      <c r="D7" s="40" t="n">
        <v>1</v>
      </c>
      <c r="E7" s="40" t="n">
        <v>1</v>
      </c>
      <c r="F7" s="40" t="n">
        <v>1</v>
      </c>
      <c r="G7" s="40" t="n">
        <v>1</v>
      </c>
      <c r="H7" s="40" t="n">
        <v>1</v>
      </c>
      <c r="I7" s="40" t="n">
        <v>1</v>
      </c>
      <c r="J7" s="40" t="n">
        <v>1</v>
      </c>
      <c r="K7" s="40" t="n">
        <v>1</v>
      </c>
      <c r="L7" s="40" t="n">
        <v>1</v>
      </c>
      <c r="M7" s="40" t="n">
        <v>1</v>
      </c>
      <c r="N7" s="40" t="n">
        <v>1</v>
      </c>
      <c r="O7" s="40" t="n">
        <v>2</v>
      </c>
      <c r="P7" s="40" t="n">
        <v>2</v>
      </c>
      <c r="Q7" s="40" t="n">
        <v>2</v>
      </c>
      <c r="R7" s="40" t="n">
        <v>2</v>
      </c>
      <c r="S7" s="40" t="n">
        <v>2</v>
      </c>
      <c r="T7" s="40" t="n">
        <v>2</v>
      </c>
      <c r="U7" s="40" t="n">
        <v>2</v>
      </c>
      <c r="V7" s="40" t="n">
        <v>2</v>
      </c>
      <c r="W7" s="40" t="n">
        <v>2</v>
      </c>
      <c r="X7" s="40" t="n">
        <v>2</v>
      </c>
      <c r="Y7" s="40" t="n">
        <v>2</v>
      </c>
      <c r="Z7" s="40" t="n">
        <v>2</v>
      </c>
      <c r="AA7" s="40" t="n">
        <v>3</v>
      </c>
      <c r="AB7" s="40" t="n">
        <v>3</v>
      </c>
      <c r="AC7" s="40" t="n">
        <v>3</v>
      </c>
      <c r="AD7" s="40" t="n">
        <v>3</v>
      </c>
      <c r="AE7" s="40" t="n">
        <v>3</v>
      </c>
      <c r="AF7" s="40" t="n">
        <v>3</v>
      </c>
      <c r="AG7" s="40" t="n">
        <v>3</v>
      </c>
      <c r="AH7" s="40" t="n">
        <v>3</v>
      </c>
      <c r="AI7" s="40" t="n">
        <v>3</v>
      </c>
      <c r="AJ7" s="40" t="n">
        <v>3</v>
      </c>
      <c r="AK7" s="40" t="n">
        <v>3</v>
      </c>
      <c r="AL7" s="40" t="n">
        <v>3</v>
      </c>
      <c r="AM7" s="40" t="n">
        <v>4</v>
      </c>
      <c r="AN7" s="40" t="n">
        <v>4</v>
      </c>
      <c r="AO7" s="40" t="n">
        <v>4</v>
      </c>
      <c r="AP7" s="40" t="n">
        <v>4</v>
      </c>
      <c r="AQ7" s="40" t="n">
        <v>4</v>
      </c>
      <c r="AR7" s="40" t="n">
        <v>4</v>
      </c>
      <c r="AS7" s="40" t="n">
        <v>4</v>
      </c>
      <c r="AT7" s="40" t="n">
        <v>4</v>
      </c>
      <c r="AU7" s="40" t="n">
        <v>4</v>
      </c>
      <c r="AV7" s="40" t="n">
        <v>4</v>
      </c>
      <c r="AW7" s="40" t="n">
        <v>4</v>
      </c>
      <c r="AX7" s="40" t="n">
        <v>4</v>
      </c>
      <c r="AY7" s="40" t="n">
        <v>5</v>
      </c>
      <c r="AZ7" s="40" t="n">
        <v>5</v>
      </c>
      <c r="BA7" s="40" t="n">
        <v>5</v>
      </c>
      <c r="BB7" s="40" t="n">
        <v>5</v>
      </c>
      <c r="BC7" s="40" t="n">
        <v>5</v>
      </c>
      <c r="BD7" s="40" t="n">
        <v>5</v>
      </c>
      <c r="BE7" s="40" t="n">
        <v>5</v>
      </c>
      <c r="BF7" s="40" t="n">
        <v>5</v>
      </c>
      <c r="BG7" s="40" t="n">
        <v>5</v>
      </c>
      <c r="BH7" s="40" t="n">
        <v>5</v>
      </c>
      <c r="BI7" s="40" t="n">
        <v>5</v>
      </c>
      <c r="BJ7" s="40" t="n">
        <v>5</v>
      </c>
      <c r="BK7" s="40" t="n">
        <v>6</v>
      </c>
      <c r="BL7" s="40" t="n">
        <v>6</v>
      </c>
      <c r="BM7" s="40" t="n">
        <v>6</v>
      </c>
      <c r="BN7" s="40" t="n">
        <v>6</v>
      </c>
      <c r="BO7" s="40" t="n">
        <v>6</v>
      </c>
      <c r="BP7" s="40" t="n">
        <v>6</v>
      </c>
      <c r="BQ7" s="40" t="n">
        <v>6</v>
      </c>
      <c r="BR7" s="40" t="n">
        <v>6</v>
      </c>
      <c r="BS7" s="40" t="n">
        <v>6</v>
      </c>
      <c r="BT7" s="40" t="n">
        <v>6</v>
      </c>
      <c r="BU7" s="40" t="n">
        <v>6</v>
      </c>
      <c r="BV7" s="40" t="n">
        <v>6</v>
      </c>
    </row>
    <row r="8">
      <c r="B8" s="38" t="inlineStr">
        <is>
          <t>Gross growth rate</t>
        </is>
      </c>
      <c r="C8" s="40">
        <f>Assumptions!$C$14</f>
        <v/>
      </c>
      <c r="D8" s="40">
        <f>Assumptions!$C$14</f>
        <v/>
      </c>
      <c r="E8" s="40">
        <f>Assumptions!$C$14</f>
        <v/>
      </c>
      <c r="F8" s="40">
        <f>Assumptions!$C$14</f>
        <v/>
      </c>
      <c r="G8" s="40">
        <f>Assumptions!$C$14</f>
        <v/>
      </c>
      <c r="H8" s="40">
        <f>Assumptions!$C$14</f>
        <v/>
      </c>
      <c r="I8" s="40">
        <f>Assumptions!$C$14</f>
        <v/>
      </c>
      <c r="J8" s="40">
        <f>Assumptions!$C$14</f>
        <v/>
      </c>
      <c r="K8" s="40">
        <f>Assumptions!$C$14</f>
        <v/>
      </c>
      <c r="L8" s="40">
        <f>Assumptions!$C$14</f>
        <v/>
      </c>
      <c r="M8" s="40">
        <f>Assumptions!$C$14</f>
        <v/>
      </c>
      <c r="N8" s="40">
        <f>Assumptions!$C$14</f>
        <v/>
      </c>
      <c r="O8" s="40">
        <f>Assumptions!$C$15</f>
        <v/>
      </c>
      <c r="P8" s="40">
        <f>Assumptions!$C$15</f>
        <v/>
      </c>
      <c r="Q8" s="40">
        <f>Assumptions!$C$15</f>
        <v/>
      </c>
      <c r="R8" s="40">
        <f>Assumptions!$C$15</f>
        <v/>
      </c>
      <c r="S8" s="40">
        <f>Assumptions!$C$15</f>
        <v/>
      </c>
      <c r="T8" s="40">
        <f>Assumptions!$C$15</f>
        <v/>
      </c>
      <c r="U8" s="40">
        <f>Assumptions!$C$15</f>
        <v/>
      </c>
      <c r="V8" s="40">
        <f>Assumptions!$C$15</f>
        <v/>
      </c>
      <c r="W8" s="40">
        <f>Assumptions!$C$15</f>
        <v/>
      </c>
      <c r="X8" s="40">
        <f>Assumptions!$C$15</f>
        <v/>
      </c>
      <c r="Y8" s="40">
        <f>Assumptions!$C$15</f>
        <v/>
      </c>
      <c r="Z8" s="40">
        <f>Assumptions!$C$15</f>
        <v/>
      </c>
      <c r="AA8" s="40">
        <f>Assumptions!$C$16</f>
        <v/>
      </c>
      <c r="AB8" s="40">
        <f>Assumptions!$C$16</f>
        <v/>
      </c>
      <c r="AC8" s="40">
        <f>Assumptions!$C$16</f>
        <v/>
      </c>
      <c r="AD8" s="40">
        <f>Assumptions!$C$16</f>
        <v/>
      </c>
      <c r="AE8" s="40">
        <f>Assumptions!$C$16</f>
        <v/>
      </c>
      <c r="AF8" s="40">
        <f>Assumptions!$C$16</f>
        <v/>
      </c>
      <c r="AG8" s="40">
        <f>Assumptions!$C$16</f>
        <v/>
      </c>
      <c r="AH8" s="40">
        <f>Assumptions!$C$16</f>
        <v/>
      </c>
      <c r="AI8" s="40">
        <f>Assumptions!$C$16</f>
        <v/>
      </c>
      <c r="AJ8" s="40">
        <f>Assumptions!$C$16</f>
        <v/>
      </c>
      <c r="AK8" s="40">
        <f>Assumptions!$C$16</f>
        <v/>
      </c>
      <c r="AL8" s="40">
        <f>Assumptions!$C$16</f>
        <v/>
      </c>
      <c r="AM8" s="40">
        <f>Assumptions!$C$17</f>
        <v/>
      </c>
      <c r="AN8" s="40">
        <f>Assumptions!$C$17</f>
        <v/>
      </c>
      <c r="AO8" s="40">
        <f>Assumptions!$C$17</f>
        <v/>
      </c>
      <c r="AP8" s="40">
        <f>Assumptions!$C$17</f>
        <v/>
      </c>
      <c r="AQ8" s="40">
        <f>Assumptions!$C$17</f>
        <v/>
      </c>
      <c r="AR8" s="40">
        <f>Assumptions!$C$17</f>
        <v/>
      </c>
      <c r="AS8" s="40">
        <f>Assumptions!$C$17</f>
        <v/>
      </c>
      <c r="AT8" s="40">
        <f>Assumptions!$C$17</f>
        <v/>
      </c>
      <c r="AU8" s="40">
        <f>Assumptions!$C$17</f>
        <v/>
      </c>
      <c r="AV8" s="40">
        <f>Assumptions!$C$17</f>
        <v/>
      </c>
      <c r="AW8" s="40">
        <f>Assumptions!$C$17</f>
        <v/>
      </c>
      <c r="AX8" s="40">
        <f>Assumptions!$C$17</f>
        <v/>
      </c>
      <c r="AY8" s="40">
        <f>Assumptions!$C$17</f>
        <v/>
      </c>
      <c r="AZ8" s="40">
        <f>Assumptions!$C$17</f>
        <v/>
      </c>
      <c r="BA8" s="40">
        <f>Assumptions!$C$17</f>
        <v/>
      </c>
      <c r="BB8" s="40">
        <f>Assumptions!$C$17</f>
        <v/>
      </c>
      <c r="BC8" s="40">
        <f>Assumptions!$C$17</f>
        <v/>
      </c>
      <c r="BD8" s="40">
        <f>Assumptions!$C$17</f>
        <v/>
      </c>
      <c r="BE8" s="40">
        <f>Assumptions!$C$17</f>
        <v/>
      </c>
      <c r="BF8" s="40">
        <f>Assumptions!$C$17</f>
        <v/>
      </c>
      <c r="BG8" s="40">
        <f>Assumptions!$C$17</f>
        <v/>
      </c>
      <c r="BH8" s="40">
        <f>Assumptions!$C$17</f>
        <v/>
      </c>
      <c r="BI8" s="40">
        <f>Assumptions!$C$17</f>
        <v/>
      </c>
      <c r="BJ8" s="40">
        <f>Assumptions!$C$17</f>
        <v/>
      </c>
      <c r="BK8" s="40">
        <f>Assumptions!$C$17</f>
        <v/>
      </c>
      <c r="BL8" s="40">
        <f>Assumptions!$C$17</f>
        <v/>
      </c>
      <c r="BM8" s="40">
        <f>Assumptions!$C$17</f>
        <v/>
      </c>
      <c r="BN8" s="40">
        <f>Assumptions!$C$17</f>
        <v/>
      </c>
      <c r="BO8" s="40">
        <f>Assumptions!$C$17</f>
        <v/>
      </c>
      <c r="BP8" s="40">
        <f>Assumptions!$C$17</f>
        <v/>
      </c>
      <c r="BQ8" s="40">
        <f>Assumptions!$C$17</f>
        <v/>
      </c>
      <c r="BR8" s="40">
        <f>Assumptions!$C$17</f>
        <v/>
      </c>
      <c r="BS8" s="40">
        <f>Assumptions!$C$17</f>
        <v/>
      </c>
      <c r="BT8" s="40">
        <f>Assumptions!$C$17</f>
        <v/>
      </c>
      <c r="BU8" s="40">
        <f>Assumptions!$C$17</f>
        <v/>
      </c>
      <c r="BV8" s="40">
        <f>Assumptions!$C$17</f>
        <v/>
      </c>
    </row>
    <row r="10">
      <c r="B10" s="38" t="inlineStr">
        <is>
          <t>SUBSCRIBERS (organizers)</t>
        </is>
      </c>
    </row>
    <row r="11">
      <c r="B11" s="38" t="inlineStr">
        <is>
          <t>Opening</t>
        </is>
      </c>
      <c r="C11" s="40" t="n">
        <v>0</v>
      </c>
      <c r="D11" s="40">
        <f>C15</f>
        <v/>
      </c>
      <c r="E11" s="40">
        <f>D15</f>
        <v/>
      </c>
      <c r="F11" s="40">
        <f>E15</f>
        <v/>
      </c>
      <c r="G11" s="40">
        <f>F15</f>
        <v/>
      </c>
      <c r="H11" s="40">
        <f>G15</f>
        <v/>
      </c>
      <c r="I11" s="40">
        <f>H15</f>
        <v/>
      </c>
      <c r="J11" s="40">
        <f>I15</f>
        <v/>
      </c>
      <c r="K11" s="40">
        <f>J15</f>
        <v/>
      </c>
      <c r="L11" s="40">
        <f>K15</f>
        <v/>
      </c>
      <c r="M11" s="40">
        <f>L15</f>
        <v/>
      </c>
      <c r="N11" s="40">
        <f>M15</f>
        <v/>
      </c>
      <c r="O11" s="40">
        <f>N15</f>
        <v/>
      </c>
      <c r="P11" s="40">
        <f>O15</f>
        <v/>
      </c>
      <c r="Q11" s="40">
        <f>P15</f>
        <v/>
      </c>
      <c r="R11" s="40">
        <f>Q15</f>
        <v/>
      </c>
      <c r="S11" s="40">
        <f>R15</f>
        <v/>
      </c>
      <c r="T11" s="40">
        <f>S15</f>
        <v/>
      </c>
      <c r="U11" s="40">
        <f>T15</f>
        <v/>
      </c>
      <c r="V11" s="40">
        <f>U15</f>
        <v/>
      </c>
      <c r="W11" s="40">
        <f>V15</f>
        <v/>
      </c>
      <c r="X11" s="40">
        <f>W15</f>
        <v/>
      </c>
      <c r="Y11" s="40">
        <f>X15</f>
        <v/>
      </c>
      <c r="Z11" s="40">
        <f>Y15</f>
        <v/>
      </c>
      <c r="AA11" s="40">
        <f>Z15</f>
        <v/>
      </c>
      <c r="AB11" s="40">
        <f>AA15</f>
        <v/>
      </c>
      <c r="AC11" s="40">
        <f>AB15</f>
        <v/>
      </c>
      <c r="AD11" s="40">
        <f>AC15</f>
        <v/>
      </c>
      <c r="AE11" s="40">
        <f>AD15</f>
        <v/>
      </c>
      <c r="AF11" s="40">
        <f>AE15</f>
        <v/>
      </c>
      <c r="AG11" s="40">
        <f>AF15</f>
        <v/>
      </c>
      <c r="AH11" s="40">
        <f>AG15</f>
        <v/>
      </c>
      <c r="AI11" s="40">
        <f>AH15</f>
        <v/>
      </c>
      <c r="AJ11" s="40">
        <f>AI15</f>
        <v/>
      </c>
      <c r="AK11" s="40">
        <f>AJ15</f>
        <v/>
      </c>
      <c r="AL11" s="40">
        <f>AK15</f>
        <v/>
      </c>
      <c r="AM11" s="40">
        <f>AL15</f>
        <v/>
      </c>
      <c r="AN11" s="40">
        <f>AM15</f>
        <v/>
      </c>
      <c r="AO11" s="40">
        <f>AN15</f>
        <v/>
      </c>
      <c r="AP11" s="40">
        <f>AO15</f>
        <v/>
      </c>
      <c r="AQ11" s="40">
        <f>AP15</f>
        <v/>
      </c>
      <c r="AR11" s="40">
        <f>AQ15</f>
        <v/>
      </c>
      <c r="AS11" s="40">
        <f>AR15</f>
        <v/>
      </c>
      <c r="AT11" s="40">
        <f>AS15</f>
        <v/>
      </c>
      <c r="AU11" s="40">
        <f>AT15</f>
        <v/>
      </c>
      <c r="AV11" s="40">
        <f>AU15</f>
        <v/>
      </c>
      <c r="AW11" s="40">
        <f>AV15</f>
        <v/>
      </c>
      <c r="AX11" s="40">
        <f>AW15</f>
        <v/>
      </c>
      <c r="AY11" s="40">
        <f>AX15</f>
        <v/>
      </c>
      <c r="AZ11" s="40">
        <f>AY15</f>
        <v/>
      </c>
      <c r="BA11" s="40">
        <f>AZ15</f>
        <v/>
      </c>
      <c r="BB11" s="40">
        <f>BA15</f>
        <v/>
      </c>
      <c r="BC11" s="40">
        <f>BB15</f>
        <v/>
      </c>
      <c r="BD11" s="40">
        <f>BC15</f>
        <v/>
      </c>
      <c r="BE11" s="40">
        <f>BD15</f>
        <v/>
      </c>
      <c r="BF11" s="40">
        <f>BE15</f>
        <v/>
      </c>
      <c r="BG11" s="40">
        <f>BF15</f>
        <v/>
      </c>
      <c r="BH11" s="40">
        <f>BG15</f>
        <v/>
      </c>
      <c r="BI11" s="40">
        <f>BH15</f>
        <v/>
      </c>
      <c r="BJ11" s="40">
        <f>BI15</f>
        <v/>
      </c>
      <c r="BK11" s="40">
        <f>BJ15</f>
        <v/>
      </c>
      <c r="BL11" s="40">
        <f>BK15</f>
        <v/>
      </c>
      <c r="BM11" s="40">
        <f>BL15</f>
        <v/>
      </c>
      <c r="BN11" s="40">
        <f>BM15</f>
        <v/>
      </c>
      <c r="BO11" s="40">
        <f>BN15</f>
        <v/>
      </c>
      <c r="BP11" s="40">
        <f>BO15</f>
        <v/>
      </c>
      <c r="BQ11" s="40">
        <f>BP15</f>
        <v/>
      </c>
      <c r="BR11" s="40">
        <f>BQ15</f>
        <v/>
      </c>
      <c r="BS11" s="40">
        <f>BR15</f>
        <v/>
      </c>
      <c r="BT11" s="40">
        <f>BS15</f>
        <v/>
      </c>
      <c r="BU11" s="40">
        <f>BT15</f>
        <v/>
      </c>
      <c r="BV11" s="40">
        <f>BU15</f>
        <v/>
      </c>
    </row>
    <row r="12">
      <c r="B12" s="38" t="inlineStr">
        <is>
          <t xml:space="preserve">  Conversion intake (ramp)</t>
        </is>
      </c>
      <c r="C12" s="40">
        <f>IF(C5&lt;=Assumptions!$C$13,Assumptions!$C$12/Assumptions!$C$13,0)</f>
        <v/>
      </c>
      <c r="D12" s="40">
        <f>IF(D5&lt;=Assumptions!$C$13,Assumptions!$C$12/Assumptions!$C$13,0)</f>
        <v/>
      </c>
      <c r="E12" s="40">
        <f>IF(E5&lt;=Assumptions!$C$13,Assumptions!$C$12/Assumptions!$C$13,0)</f>
        <v/>
      </c>
      <c r="F12" s="40">
        <f>IF(F5&lt;=Assumptions!$C$13,Assumptions!$C$12/Assumptions!$C$13,0)</f>
        <v/>
      </c>
      <c r="G12" s="40">
        <f>IF(G5&lt;=Assumptions!$C$13,Assumptions!$C$12/Assumptions!$C$13,0)</f>
        <v/>
      </c>
      <c r="H12" s="40">
        <f>IF(H5&lt;=Assumptions!$C$13,Assumptions!$C$12/Assumptions!$C$13,0)</f>
        <v/>
      </c>
      <c r="I12" s="40">
        <f>IF(I5&lt;=Assumptions!$C$13,Assumptions!$C$12/Assumptions!$C$13,0)</f>
        <v/>
      </c>
      <c r="J12" s="40">
        <f>IF(J5&lt;=Assumptions!$C$13,Assumptions!$C$12/Assumptions!$C$13,0)</f>
        <v/>
      </c>
      <c r="K12" s="40">
        <f>IF(K5&lt;=Assumptions!$C$13,Assumptions!$C$12/Assumptions!$C$13,0)</f>
        <v/>
      </c>
      <c r="L12" s="40">
        <f>IF(L5&lt;=Assumptions!$C$13,Assumptions!$C$12/Assumptions!$C$13,0)</f>
        <v/>
      </c>
      <c r="M12" s="40">
        <f>IF(M5&lt;=Assumptions!$C$13,Assumptions!$C$12/Assumptions!$C$13,0)</f>
        <v/>
      </c>
      <c r="N12" s="40">
        <f>IF(N5&lt;=Assumptions!$C$13,Assumptions!$C$12/Assumptions!$C$13,0)</f>
        <v/>
      </c>
      <c r="O12" s="40">
        <f>IF(O5&lt;=Assumptions!$C$13,Assumptions!$C$12/Assumptions!$C$13,0)</f>
        <v/>
      </c>
      <c r="P12" s="40">
        <f>IF(P5&lt;=Assumptions!$C$13,Assumptions!$C$12/Assumptions!$C$13,0)</f>
        <v/>
      </c>
      <c r="Q12" s="40">
        <f>IF(Q5&lt;=Assumptions!$C$13,Assumptions!$C$12/Assumptions!$C$13,0)</f>
        <v/>
      </c>
      <c r="R12" s="40">
        <f>IF(R5&lt;=Assumptions!$C$13,Assumptions!$C$12/Assumptions!$C$13,0)</f>
        <v/>
      </c>
      <c r="S12" s="40">
        <f>IF(S5&lt;=Assumptions!$C$13,Assumptions!$C$12/Assumptions!$C$13,0)</f>
        <v/>
      </c>
      <c r="T12" s="40">
        <f>IF(T5&lt;=Assumptions!$C$13,Assumptions!$C$12/Assumptions!$C$13,0)</f>
        <v/>
      </c>
      <c r="U12" s="40">
        <f>IF(U5&lt;=Assumptions!$C$13,Assumptions!$C$12/Assumptions!$C$13,0)</f>
        <v/>
      </c>
      <c r="V12" s="40">
        <f>IF(V5&lt;=Assumptions!$C$13,Assumptions!$C$12/Assumptions!$C$13,0)</f>
        <v/>
      </c>
      <c r="W12" s="40">
        <f>IF(W5&lt;=Assumptions!$C$13,Assumptions!$C$12/Assumptions!$C$13,0)</f>
        <v/>
      </c>
      <c r="X12" s="40">
        <f>IF(X5&lt;=Assumptions!$C$13,Assumptions!$C$12/Assumptions!$C$13,0)</f>
        <v/>
      </c>
      <c r="Y12" s="40">
        <f>IF(Y5&lt;=Assumptions!$C$13,Assumptions!$C$12/Assumptions!$C$13,0)</f>
        <v/>
      </c>
      <c r="Z12" s="40">
        <f>IF(Z5&lt;=Assumptions!$C$13,Assumptions!$C$12/Assumptions!$C$13,0)</f>
        <v/>
      </c>
      <c r="AA12" s="40">
        <f>IF(AA5&lt;=Assumptions!$C$13,Assumptions!$C$12/Assumptions!$C$13,0)</f>
        <v/>
      </c>
      <c r="AB12" s="40">
        <f>IF(AB5&lt;=Assumptions!$C$13,Assumptions!$C$12/Assumptions!$C$13,0)</f>
        <v/>
      </c>
      <c r="AC12" s="40">
        <f>IF(AC5&lt;=Assumptions!$C$13,Assumptions!$C$12/Assumptions!$C$13,0)</f>
        <v/>
      </c>
      <c r="AD12" s="40">
        <f>IF(AD5&lt;=Assumptions!$C$13,Assumptions!$C$12/Assumptions!$C$13,0)</f>
        <v/>
      </c>
      <c r="AE12" s="40">
        <f>IF(AE5&lt;=Assumptions!$C$13,Assumptions!$C$12/Assumptions!$C$13,0)</f>
        <v/>
      </c>
      <c r="AF12" s="40">
        <f>IF(AF5&lt;=Assumptions!$C$13,Assumptions!$C$12/Assumptions!$C$13,0)</f>
        <v/>
      </c>
      <c r="AG12" s="40">
        <f>IF(AG5&lt;=Assumptions!$C$13,Assumptions!$C$12/Assumptions!$C$13,0)</f>
        <v/>
      </c>
      <c r="AH12" s="40">
        <f>IF(AH5&lt;=Assumptions!$C$13,Assumptions!$C$12/Assumptions!$C$13,0)</f>
        <v/>
      </c>
      <c r="AI12" s="40">
        <f>IF(AI5&lt;=Assumptions!$C$13,Assumptions!$C$12/Assumptions!$C$13,0)</f>
        <v/>
      </c>
      <c r="AJ12" s="40">
        <f>IF(AJ5&lt;=Assumptions!$C$13,Assumptions!$C$12/Assumptions!$C$13,0)</f>
        <v/>
      </c>
      <c r="AK12" s="40">
        <f>IF(AK5&lt;=Assumptions!$C$13,Assumptions!$C$12/Assumptions!$C$13,0)</f>
        <v/>
      </c>
      <c r="AL12" s="40">
        <f>IF(AL5&lt;=Assumptions!$C$13,Assumptions!$C$12/Assumptions!$C$13,0)</f>
        <v/>
      </c>
      <c r="AM12" s="40">
        <f>IF(AM5&lt;=Assumptions!$C$13,Assumptions!$C$12/Assumptions!$C$13,0)</f>
        <v/>
      </c>
      <c r="AN12" s="40">
        <f>IF(AN5&lt;=Assumptions!$C$13,Assumptions!$C$12/Assumptions!$C$13,0)</f>
        <v/>
      </c>
      <c r="AO12" s="40">
        <f>IF(AO5&lt;=Assumptions!$C$13,Assumptions!$C$12/Assumptions!$C$13,0)</f>
        <v/>
      </c>
      <c r="AP12" s="40">
        <f>IF(AP5&lt;=Assumptions!$C$13,Assumptions!$C$12/Assumptions!$C$13,0)</f>
        <v/>
      </c>
      <c r="AQ12" s="40">
        <f>IF(AQ5&lt;=Assumptions!$C$13,Assumptions!$C$12/Assumptions!$C$13,0)</f>
        <v/>
      </c>
      <c r="AR12" s="40">
        <f>IF(AR5&lt;=Assumptions!$C$13,Assumptions!$C$12/Assumptions!$C$13,0)</f>
        <v/>
      </c>
      <c r="AS12" s="40">
        <f>IF(AS5&lt;=Assumptions!$C$13,Assumptions!$C$12/Assumptions!$C$13,0)</f>
        <v/>
      </c>
      <c r="AT12" s="40">
        <f>IF(AT5&lt;=Assumptions!$C$13,Assumptions!$C$12/Assumptions!$C$13,0)</f>
        <v/>
      </c>
      <c r="AU12" s="40">
        <f>IF(AU5&lt;=Assumptions!$C$13,Assumptions!$C$12/Assumptions!$C$13,0)</f>
        <v/>
      </c>
      <c r="AV12" s="40">
        <f>IF(AV5&lt;=Assumptions!$C$13,Assumptions!$C$12/Assumptions!$C$13,0)</f>
        <v/>
      </c>
      <c r="AW12" s="40">
        <f>IF(AW5&lt;=Assumptions!$C$13,Assumptions!$C$12/Assumptions!$C$13,0)</f>
        <v/>
      </c>
      <c r="AX12" s="40">
        <f>IF(AX5&lt;=Assumptions!$C$13,Assumptions!$C$12/Assumptions!$C$13,0)</f>
        <v/>
      </c>
      <c r="AY12" s="40">
        <f>IF(AY5&lt;=Assumptions!$C$13,Assumptions!$C$12/Assumptions!$C$13,0)</f>
        <v/>
      </c>
      <c r="AZ12" s="40">
        <f>IF(AZ5&lt;=Assumptions!$C$13,Assumptions!$C$12/Assumptions!$C$13,0)</f>
        <v/>
      </c>
      <c r="BA12" s="40">
        <f>IF(BA5&lt;=Assumptions!$C$13,Assumptions!$C$12/Assumptions!$C$13,0)</f>
        <v/>
      </c>
      <c r="BB12" s="40">
        <f>IF(BB5&lt;=Assumptions!$C$13,Assumptions!$C$12/Assumptions!$C$13,0)</f>
        <v/>
      </c>
      <c r="BC12" s="40">
        <f>IF(BC5&lt;=Assumptions!$C$13,Assumptions!$C$12/Assumptions!$C$13,0)</f>
        <v/>
      </c>
      <c r="BD12" s="40">
        <f>IF(BD5&lt;=Assumptions!$C$13,Assumptions!$C$12/Assumptions!$C$13,0)</f>
        <v/>
      </c>
      <c r="BE12" s="40">
        <f>IF(BE5&lt;=Assumptions!$C$13,Assumptions!$C$12/Assumptions!$C$13,0)</f>
        <v/>
      </c>
      <c r="BF12" s="40">
        <f>IF(BF5&lt;=Assumptions!$C$13,Assumptions!$C$12/Assumptions!$C$13,0)</f>
        <v/>
      </c>
      <c r="BG12" s="40">
        <f>IF(BG5&lt;=Assumptions!$C$13,Assumptions!$C$12/Assumptions!$C$13,0)</f>
        <v/>
      </c>
      <c r="BH12" s="40">
        <f>IF(BH5&lt;=Assumptions!$C$13,Assumptions!$C$12/Assumptions!$C$13,0)</f>
        <v/>
      </c>
      <c r="BI12" s="40">
        <f>IF(BI5&lt;=Assumptions!$C$13,Assumptions!$C$12/Assumptions!$C$13,0)</f>
        <v/>
      </c>
      <c r="BJ12" s="40">
        <f>IF(BJ5&lt;=Assumptions!$C$13,Assumptions!$C$12/Assumptions!$C$13,0)</f>
        <v/>
      </c>
      <c r="BK12" s="40">
        <f>IF(BK5&lt;=Assumptions!$C$13,Assumptions!$C$12/Assumptions!$C$13,0)</f>
        <v/>
      </c>
      <c r="BL12" s="40">
        <f>IF(BL5&lt;=Assumptions!$C$13,Assumptions!$C$12/Assumptions!$C$13,0)</f>
        <v/>
      </c>
      <c r="BM12" s="40">
        <f>IF(BM5&lt;=Assumptions!$C$13,Assumptions!$C$12/Assumptions!$C$13,0)</f>
        <v/>
      </c>
      <c r="BN12" s="40">
        <f>IF(BN5&lt;=Assumptions!$C$13,Assumptions!$C$12/Assumptions!$C$13,0)</f>
        <v/>
      </c>
      <c r="BO12" s="40">
        <f>IF(BO5&lt;=Assumptions!$C$13,Assumptions!$C$12/Assumptions!$C$13,0)</f>
        <v/>
      </c>
      <c r="BP12" s="40">
        <f>IF(BP5&lt;=Assumptions!$C$13,Assumptions!$C$12/Assumptions!$C$13,0)</f>
        <v/>
      </c>
      <c r="BQ12" s="40">
        <f>IF(BQ5&lt;=Assumptions!$C$13,Assumptions!$C$12/Assumptions!$C$13,0)</f>
        <v/>
      </c>
      <c r="BR12" s="40">
        <f>IF(BR5&lt;=Assumptions!$C$13,Assumptions!$C$12/Assumptions!$C$13,0)</f>
        <v/>
      </c>
      <c r="BS12" s="40">
        <f>IF(BS5&lt;=Assumptions!$C$13,Assumptions!$C$12/Assumptions!$C$13,0)</f>
        <v/>
      </c>
      <c r="BT12" s="40">
        <f>IF(BT5&lt;=Assumptions!$C$13,Assumptions!$C$12/Assumptions!$C$13,0)</f>
        <v/>
      </c>
      <c r="BU12" s="40">
        <f>IF(BU5&lt;=Assumptions!$C$13,Assumptions!$C$12/Assumptions!$C$13,0)</f>
        <v/>
      </c>
      <c r="BV12" s="40">
        <f>IF(BV5&lt;=Assumptions!$C$13,Assumptions!$C$12/Assumptions!$C$13,0)</f>
        <v/>
      </c>
    </row>
    <row r="13">
      <c r="B13" s="38" t="inlineStr">
        <is>
          <t xml:space="preserve">  Organic + invite-converted</t>
        </is>
      </c>
      <c r="C13" s="40">
        <f>C11*C8</f>
        <v/>
      </c>
      <c r="D13" s="40">
        <f>D11*D8</f>
        <v/>
      </c>
      <c r="E13" s="40">
        <f>E11*E8</f>
        <v/>
      </c>
      <c r="F13" s="40">
        <f>F11*F8</f>
        <v/>
      </c>
      <c r="G13" s="40">
        <f>G11*G8</f>
        <v/>
      </c>
      <c r="H13" s="40">
        <f>H11*H8</f>
        <v/>
      </c>
      <c r="I13" s="40">
        <f>I11*I8</f>
        <v/>
      </c>
      <c r="J13" s="40">
        <f>J11*J8</f>
        <v/>
      </c>
      <c r="K13" s="40">
        <f>K11*K8</f>
        <v/>
      </c>
      <c r="L13" s="40">
        <f>L11*L8</f>
        <v/>
      </c>
      <c r="M13" s="40">
        <f>M11*M8</f>
        <v/>
      </c>
      <c r="N13" s="40">
        <f>N11*N8</f>
        <v/>
      </c>
      <c r="O13" s="40">
        <f>O11*O8</f>
        <v/>
      </c>
      <c r="P13" s="40">
        <f>P11*P8</f>
        <v/>
      </c>
      <c r="Q13" s="40">
        <f>Q11*Q8</f>
        <v/>
      </c>
      <c r="R13" s="40">
        <f>R11*R8</f>
        <v/>
      </c>
      <c r="S13" s="40">
        <f>S11*S8</f>
        <v/>
      </c>
      <c r="T13" s="40">
        <f>T11*T8</f>
        <v/>
      </c>
      <c r="U13" s="40">
        <f>U11*U8</f>
        <v/>
      </c>
      <c r="V13" s="40">
        <f>V11*V8</f>
        <v/>
      </c>
      <c r="W13" s="40">
        <f>W11*W8</f>
        <v/>
      </c>
      <c r="X13" s="40">
        <f>X11*X8</f>
        <v/>
      </c>
      <c r="Y13" s="40">
        <f>Y11*Y8</f>
        <v/>
      </c>
      <c r="Z13" s="40">
        <f>Z11*Z8</f>
        <v/>
      </c>
      <c r="AA13" s="40">
        <f>AA11*AA8</f>
        <v/>
      </c>
      <c r="AB13" s="40">
        <f>AB11*AB8</f>
        <v/>
      </c>
      <c r="AC13" s="40">
        <f>AC11*AC8</f>
        <v/>
      </c>
      <c r="AD13" s="40">
        <f>AD11*AD8</f>
        <v/>
      </c>
      <c r="AE13" s="40">
        <f>AE11*AE8</f>
        <v/>
      </c>
      <c r="AF13" s="40">
        <f>AF11*AF8</f>
        <v/>
      </c>
      <c r="AG13" s="40">
        <f>AG11*AG8</f>
        <v/>
      </c>
      <c r="AH13" s="40">
        <f>AH11*AH8</f>
        <v/>
      </c>
      <c r="AI13" s="40">
        <f>AI11*AI8</f>
        <v/>
      </c>
      <c r="AJ13" s="40">
        <f>AJ11*AJ8</f>
        <v/>
      </c>
      <c r="AK13" s="40">
        <f>AK11*AK8</f>
        <v/>
      </c>
      <c r="AL13" s="40">
        <f>AL11*AL8</f>
        <v/>
      </c>
      <c r="AM13" s="40">
        <f>AM11*AM8</f>
        <v/>
      </c>
      <c r="AN13" s="40">
        <f>AN11*AN8</f>
        <v/>
      </c>
      <c r="AO13" s="40">
        <f>AO11*AO8</f>
        <v/>
      </c>
      <c r="AP13" s="40">
        <f>AP11*AP8</f>
        <v/>
      </c>
      <c r="AQ13" s="40">
        <f>AQ11*AQ8</f>
        <v/>
      </c>
      <c r="AR13" s="40">
        <f>AR11*AR8</f>
        <v/>
      </c>
      <c r="AS13" s="40">
        <f>AS11*AS8</f>
        <v/>
      </c>
      <c r="AT13" s="40">
        <f>AT11*AT8</f>
        <v/>
      </c>
      <c r="AU13" s="40">
        <f>AU11*AU8</f>
        <v/>
      </c>
      <c r="AV13" s="40">
        <f>AV11*AV8</f>
        <v/>
      </c>
      <c r="AW13" s="40">
        <f>AW11*AW8</f>
        <v/>
      </c>
      <c r="AX13" s="40">
        <f>AX11*AX8</f>
        <v/>
      </c>
      <c r="AY13" s="40">
        <f>AY11*AY8</f>
        <v/>
      </c>
      <c r="AZ13" s="40">
        <f>AZ11*AZ8</f>
        <v/>
      </c>
      <c r="BA13" s="40">
        <f>BA11*BA8</f>
        <v/>
      </c>
      <c r="BB13" s="40">
        <f>BB11*BB8</f>
        <v/>
      </c>
      <c r="BC13" s="40">
        <f>BC11*BC8</f>
        <v/>
      </c>
      <c r="BD13" s="40">
        <f>BD11*BD8</f>
        <v/>
      </c>
      <c r="BE13" s="40">
        <f>BE11*BE8</f>
        <v/>
      </c>
      <c r="BF13" s="40">
        <f>BF11*BF8</f>
        <v/>
      </c>
      <c r="BG13" s="40">
        <f>BG11*BG8</f>
        <v/>
      </c>
      <c r="BH13" s="40">
        <f>BH11*BH8</f>
        <v/>
      </c>
      <c r="BI13" s="40">
        <f>BI11*BI8</f>
        <v/>
      </c>
      <c r="BJ13" s="40">
        <f>BJ11*BJ8</f>
        <v/>
      </c>
      <c r="BK13" s="40">
        <f>BK11*BK8</f>
        <v/>
      </c>
      <c r="BL13" s="40">
        <f>BL11*BL8</f>
        <v/>
      </c>
      <c r="BM13" s="40">
        <f>BM11*BM8</f>
        <v/>
      </c>
      <c r="BN13" s="40">
        <f>BN11*BN8</f>
        <v/>
      </c>
      <c r="BO13" s="40">
        <f>BO11*BO8</f>
        <v/>
      </c>
      <c r="BP13" s="40">
        <f>BP11*BP8</f>
        <v/>
      </c>
      <c r="BQ13" s="40">
        <f>BQ11*BQ8</f>
        <v/>
      </c>
      <c r="BR13" s="40">
        <f>BR11*BR8</f>
        <v/>
      </c>
      <c r="BS13" s="40">
        <f>BS11*BS8</f>
        <v/>
      </c>
      <c r="BT13" s="40">
        <f>BT11*BT8</f>
        <v/>
      </c>
      <c r="BU13" s="40">
        <f>BU11*BU8</f>
        <v/>
      </c>
      <c r="BV13" s="40">
        <f>BV11*BV8</f>
        <v/>
      </c>
    </row>
    <row r="14">
      <c r="B14" s="38" t="inlineStr">
        <is>
          <t xml:space="preserve">  Churned</t>
        </is>
      </c>
      <c r="C14" s="40">
        <f>-C11*Assumptions!$C$18</f>
        <v/>
      </c>
      <c r="D14" s="40">
        <f>-D11*Assumptions!$C$18</f>
        <v/>
      </c>
      <c r="E14" s="40">
        <f>-E11*Assumptions!$C$18</f>
        <v/>
      </c>
      <c r="F14" s="40">
        <f>-F11*Assumptions!$C$18</f>
        <v/>
      </c>
      <c r="G14" s="40">
        <f>-G11*Assumptions!$C$18</f>
        <v/>
      </c>
      <c r="H14" s="40">
        <f>-H11*Assumptions!$C$18</f>
        <v/>
      </c>
      <c r="I14" s="40">
        <f>-I11*Assumptions!$C$18</f>
        <v/>
      </c>
      <c r="J14" s="40">
        <f>-J11*Assumptions!$C$18</f>
        <v/>
      </c>
      <c r="K14" s="40">
        <f>-K11*Assumptions!$C$18</f>
        <v/>
      </c>
      <c r="L14" s="40">
        <f>-L11*Assumptions!$C$18</f>
        <v/>
      </c>
      <c r="M14" s="40">
        <f>-M11*Assumptions!$C$18</f>
        <v/>
      </c>
      <c r="N14" s="40">
        <f>-N11*Assumptions!$C$18</f>
        <v/>
      </c>
      <c r="O14" s="40">
        <f>-O11*Assumptions!$C$18</f>
        <v/>
      </c>
      <c r="P14" s="40">
        <f>-P11*Assumptions!$C$18</f>
        <v/>
      </c>
      <c r="Q14" s="40">
        <f>-Q11*Assumptions!$C$18</f>
        <v/>
      </c>
      <c r="R14" s="40">
        <f>-R11*Assumptions!$C$18</f>
        <v/>
      </c>
      <c r="S14" s="40">
        <f>-S11*Assumptions!$C$18</f>
        <v/>
      </c>
      <c r="T14" s="40">
        <f>-T11*Assumptions!$C$18</f>
        <v/>
      </c>
      <c r="U14" s="40">
        <f>-U11*Assumptions!$C$18</f>
        <v/>
      </c>
      <c r="V14" s="40">
        <f>-V11*Assumptions!$C$18</f>
        <v/>
      </c>
      <c r="W14" s="40">
        <f>-W11*Assumptions!$C$18</f>
        <v/>
      </c>
      <c r="X14" s="40">
        <f>-X11*Assumptions!$C$18</f>
        <v/>
      </c>
      <c r="Y14" s="40">
        <f>-Y11*Assumptions!$C$18</f>
        <v/>
      </c>
      <c r="Z14" s="40">
        <f>-Z11*Assumptions!$C$18</f>
        <v/>
      </c>
      <c r="AA14" s="40">
        <f>-AA11*Assumptions!$C$18</f>
        <v/>
      </c>
      <c r="AB14" s="40">
        <f>-AB11*Assumptions!$C$18</f>
        <v/>
      </c>
      <c r="AC14" s="40">
        <f>-AC11*Assumptions!$C$18</f>
        <v/>
      </c>
      <c r="AD14" s="40">
        <f>-AD11*Assumptions!$C$18</f>
        <v/>
      </c>
      <c r="AE14" s="40">
        <f>-AE11*Assumptions!$C$18</f>
        <v/>
      </c>
      <c r="AF14" s="40">
        <f>-AF11*Assumptions!$C$18</f>
        <v/>
      </c>
      <c r="AG14" s="40">
        <f>-AG11*Assumptions!$C$18</f>
        <v/>
      </c>
      <c r="AH14" s="40">
        <f>-AH11*Assumptions!$C$18</f>
        <v/>
      </c>
      <c r="AI14" s="40">
        <f>-AI11*Assumptions!$C$18</f>
        <v/>
      </c>
      <c r="AJ14" s="40">
        <f>-AJ11*Assumptions!$C$18</f>
        <v/>
      </c>
      <c r="AK14" s="40">
        <f>-AK11*Assumptions!$C$18</f>
        <v/>
      </c>
      <c r="AL14" s="40">
        <f>-AL11*Assumptions!$C$18</f>
        <v/>
      </c>
      <c r="AM14" s="40">
        <f>-AM11*Assumptions!$C$18</f>
        <v/>
      </c>
      <c r="AN14" s="40">
        <f>-AN11*Assumptions!$C$18</f>
        <v/>
      </c>
      <c r="AO14" s="40">
        <f>-AO11*Assumptions!$C$18</f>
        <v/>
      </c>
      <c r="AP14" s="40">
        <f>-AP11*Assumptions!$C$18</f>
        <v/>
      </c>
      <c r="AQ14" s="40">
        <f>-AQ11*Assumptions!$C$18</f>
        <v/>
      </c>
      <c r="AR14" s="40">
        <f>-AR11*Assumptions!$C$18</f>
        <v/>
      </c>
      <c r="AS14" s="40">
        <f>-AS11*Assumptions!$C$18</f>
        <v/>
      </c>
      <c r="AT14" s="40">
        <f>-AT11*Assumptions!$C$18</f>
        <v/>
      </c>
      <c r="AU14" s="40">
        <f>-AU11*Assumptions!$C$18</f>
        <v/>
      </c>
      <c r="AV14" s="40">
        <f>-AV11*Assumptions!$C$18</f>
        <v/>
      </c>
      <c r="AW14" s="40">
        <f>-AW11*Assumptions!$C$18</f>
        <v/>
      </c>
      <c r="AX14" s="40">
        <f>-AX11*Assumptions!$C$18</f>
        <v/>
      </c>
      <c r="AY14" s="40">
        <f>-AY11*Assumptions!$C$18</f>
        <v/>
      </c>
      <c r="AZ14" s="40">
        <f>-AZ11*Assumptions!$C$18</f>
        <v/>
      </c>
      <c r="BA14" s="40">
        <f>-BA11*Assumptions!$C$18</f>
        <v/>
      </c>
      <c r="BB14" s="40">
        <f>-BB11*Assumptions!$C$18</f>
        <v/>
      </c>
      <c r="BC14" s="40">
        <f>-BC11*Assumptions!$C$18</f>
        <v/>
      </c>
      <c r="BD14" s="40">
        <f>-BD11*Assumptions!$C$18</f>
        <v/>
      </c>
      <c r="BE14" s="40">
        <f>-BE11*Assumptions!$C$18</f>
        <v/>
      </c>
      <c r="BF14" s="40">
        <f>-BF11*Assumptions!$C$18</f>
        <v/>
      </c>
      <c r="BG14" s="40">
        <f>-BG11*Assumptions!$C$18</f>
        <v/>
      </c>
      <c r="BH14" s="40">
        <f>-BH11*Assumptions!$C$18</f>
        <v/>
      </c>
      <c r="BI14" s="40">
        <f>-BI11*Assumptions!$C$18</f>
        <v/>
      </c>
      <c r="BJ14" s="40">
        <f>-BJ11*Assumptions!$C$18</f>
        <v/>
      </c>
      <c r="BK14" s="40">
        <f>-BK11*Assumptions!$C$18</f>
        <v/>
      </c>
      <c r="BL14" s="40">
        <f>-BL11*Assumptions!$C$18</f>
        <v/>
      </c>
      <c r="BM14" s="40">
        <f>-BM11*Assumptions!$C$18</f>
        <v/>
      </c>
      <c r="BN14" s="40">
        <f>-BN11*Assumptions!$C$18</f>
        <v/>
      </c>
      <c r="BO14" s="40">
        <f>-BO11*Assumptions!$C$18</f>
        <v/>
      </c>
      <c r="BP14" s="40">
        <f>-BP11*Assumptions!$C$18</f>
        <v/>
      </c>
      <c r="BQ14" s="40">
        <f>-BQ11*Assumptions!$C$18</f>
        <v/>
      </c>
      <c r="BR14" s="40">
        <f>-BR11*Assumptions!$C$18</f>
        <v/>
      </c>
      <c r="BS14" s="40">
        <f>-BS11*Assumptions!$C$18</f>
        <v/>
      </c>
      <c r="BT14" s="40">
        <f>-BT11*Assumptions!$C$18</f>
        <v/>
      </c>
      <c r="BU14" s="40">
        <f>-BU11*Assumptions!$C$18</f>
        <v/>
      </c>
      <c r="BV14" s="40">
        <f>-BV11*Assumptions!$C$18</f>
        <v/>
      </c>
    </row>
    <row r="15">
      <c r="B15" s="38" t="inlineStr">
        <is>
          <t>Closing</t>
        </is>
      </c>
      <c r="C15" s="40">
        <f>C11+C12+C13+C14</f>
        <v/>
      </c>
      <c r="D15" s="40">
        <f>D11+D12+D13+D14</f>
        <v/>
      </c>
      <c r="E15" s="40">
        <f>E11+E12+E13+E14</f>
        <v/>
      </c>
      <c r="F15" s="40">
        <f>F11+F12+F13+F14</f>
        <v/>
      </c>
      <c r="G15" s="40">
        <f>G11+G12+G13+G14</f>
        <v/>
      </c>
      <c r="H15" s="40">
        <f>H11+H12+H13+H14</f>
        <v/>
      </c>
      <c r="I15" s="40">
        <f>I11+I12+I13+I14</f>
        <v/>
      </c>
      <c r="J15" s="40">
        <f>J11+J12+J13+J14</f>
        <v/>
      </c>
      <c r="K15" s="40">
        <f>K11+K12+K13+K14</f>
        <v/>
      </c>
      <c r="L15" s="40">
        <f>L11+L12+L13+L14</f>
        <v/>
      </c>
      <c r="M15" s="40">
        <f>M11+M12+M13+M14</f>
        <v/>
      </c>
      <c r="N15" s="40">
        <f>N11+N12+N13+N14</f>
        <v/>
      </c>
      <c r="O15" s="40">
        <f>O11+O12+O13+O14</f>
        <v/>
      </c>
      <c r="P15" s="40">
        <f>P11+P12+P13+P14</f>
        <v/>
      </c>
      <c r="Q15" s="40">
        <f>Q11+Q12+Q13+Q14</f>
        <v/>
      </c>
      <c r="R15" s="40">
        <f>R11+R12+R13+R14</f>
        <v/>
      </c>
      <c r="S15" s="40">
        <f>S11+S12+S13+S14</f>
        <v/>
      </c>
      <c r="T15" s="40">
        <f>T11+T12+T13+T14</f>
        <v/>
      </c>
      <c r="U15" s="40">
        <f>U11+U12+U13+U14</f>
        <v/>
      </c>
      <c r="V15" s="40">
        <f>V11+V12+V13+V14</f>
        <v/>
      </c>
      <c r="W15" s="40">
        <f>W11+W12+W13+W14</f>
        <v/>
      </c>
      <c r="X15" s="40">
        <f>X11+X12+X13+X14</f>
        <v/>
      </c>
      <c r="Y15" s="40">
        <f>Y11+Y12+Y13+Y14</f>
        <v/>
      </c>
      <c r="Z15" s="40">
        <f>Z11+Z12+Z13+Z14</f>
        <v/>
      </c>
      <c r="AA15" s="40">
        <f>AA11+AA12+AA13+AA14</f>
        <v/>
      </c>
      <c r="AB15" s="40">
        <f>AB11+AB12+AB13+AB14</f>
        <v/>
      </c>
      <c r="AC15" s="40">
        <f>AC11+AC12+AC13+AC14</f>
        <v/>
      </c>
      <c r="AD15" s="40">
        <f>AD11+AD12+AD13+AD14</f>
        <v/>
      </c>
      <c r="AE15" s="40">
        <f>AE11+AE12+AE13+AE14</f>
        <v/>
      </c>
      <c r="AF15" s="40">
        <f>AF11+AF12+AF13+AF14</f>
        <v/>
      </c>
      <c r="AG15" s="40">
        <f>AG11+AG12+AG13+AG14</f>
        <v/>
      </c>
      <c r="AH15" s="40">
        <f>AH11+AH12+AH13+AH14</f>
        <v/>
      </c>
      <c r="AI15" s="40">
        <f>AI11+AI12+AI13+AI14</f>
        <v/>
      </c>
      <c r="AJ15" s="40">
        <f>AJ11+AJ12+AJ13+AJ14</f>
        <v/>
      </c>
      <c r="AK15" s="40">
        <f>AK11+AK12+AK13+AK14</f>
        <v/>
      </c>
      <c r="AL15" s="40">
        <f>AL11+AL12+AL13+AL14</f>
        <v/>
      </c>
      <c r="AM15" s="40">
        <f>AM11+AM12+AM13+AM14</f>
        <v/>
      </c>
      <c r="AN15" s="40">
        <f>AN11+AN12+AN13+AN14</f>
        <v/>
      </c>
      <c r="AO15" s="40">
        <f>AO11+AO12+AO13+AO14</f>
        <v/>
      </c>
      <c r="AP15" s="40">
        <f>AP11+AP12+AP13+AP14</f>
        <v/>
      </c>
      <c r="AQ15" s="40">
        <f>AQ11+AQ12+AQ13+AQ14</f>
        <v/>
      </c>
      <c r="AR15" s="40">
        <f>AR11+AR12+AR13+AR14</f>
        <v/>
      </c>
      <c r="AS15" s="40">
        <f>AS11+AS12+AS13+AS14</f>
        <v/>
      </c>
      <c r="AT15" s="40">
        <f>AT11+AT12+AT13+AT14</f>
        <v/>
      </c>
      <c r="AU15" s="40">
        <f>AU11+AU12+AU13+AU14</f>
        <v/>
      </c>
      <c r="AV15" s="40">
        <f>AV11+AV12+AV13+AV14</f>
        <v/>
      </c>
      <c r="AW15" s="40">
        <f>AW11+AW12+AW13+AW14</f>
        <v/>
      </c>
      <c r="AX15" s="40">
        <f>AX11+AX12+AX13+AX14</f>
        <v/>
      </c>
      <c r="AY15" s="40">
        <f>AY11+AY12+AY13+AY14</f>
        <v/>
      </c>
      <c r="AZ15" s="40">
        <f>AZ11+AZ12+AZ13+AZ14</f>
        <v/>
      </c>
      <c r="BA15" s="40">
        <f>BA11+BA12+BA13+BA14</f>
        <v/>
      </c>
      <c r="BB15" s="40">
        <f>BB11+BB12+BB13+BB14</f>
        <v/>
      </c>
      <c r="BC15" s="40">
        <f>BC11+BC12+BC13+BC14</f>
        <v/>
      </c>
      <c r="BD15" s="40">
        <f>BD11+BD12+BD13+BD14</f>
        <v/>
      </c>
      <c r="BE15" s="40">
        <f>BE11+BE12+BE13+BE14</f>
        <v/>
      </c>
      <c r="BF15" s="40">
        <f>BF11+BF12+BF13+BF14</f>
        <v/>
      </c>
      <c r="BG15" s="40">
        <f>BG11+BG12+BG13+BG14</f>
        <v/>
      </c>
      <c r="BH15" s="40">
        <f>BH11+BH12+BH13+BH14</f>
        <v/>
      </c>
      <c r="BI15" s="40">
        <f>BI11+BI12+BI13+BI14</f>
        <v/>
      </c>
      <c r="BJ15" s="40">
        <f>BJ11+BJ12+BJ13+BJ14</f>
        <v/>
      </c>
      <c r="BK15" s="40">
        <f>BK11+BK12+BK13+BK14</f>
        <v/>
      </c>
      <c r="BL15" s="40">
        <f>BL11+BL12+BL13+BL14</f>
        <v/>
      </c>
      <c r="BM15" s="40">
        <f>BM11+BM12+BM13+BM14</f>
        <v/>
      </c>
      <c r="BN15" s="40">
        <f>BN11+BN12+BN13+BN14</f>
        <v/>
      </c>
      <c r="BO15" s="40">
        <f>BO11+BO12+BO13+BO14</f>
        <v/>
      </c>
      <c r="BP15" s="40">
        <f>BP11+BP12+BP13+BP14</f>
        <v/>
      </c>
      <c r="BQ15" s="40">
        <f>BQ11+BQ12+BQ13+BQ14</f>
        <v/>
      </c>
      <c r="BR15" s="40">
        <f>BR11+BR12+BR13+BR14</f>
        <v/>
      </c>
      <c r="BS15" s="40">
        <f>BS11+BS12+BS13+BS14</f>
        <v/>
      </c>
      <c r="BT15" s="40">
        <f>BT11+BT12+BT13+BT14</f>
        <v/>
      </c>
      <c r="BU15" s="40">
        <f>BU11+BU12+BU13+BU14</f>
        <v/>
      </c>
      <c r="BV15" s="40">
        <f>BV11+BV12+BV13+BV14</f>
        <v/>
      </c>
    </row>
    <row r="16">
      <c r="B16" s="38" t="inlineStr">
        <is>
          <t>Average</t>
        </is>
      </c>
      <c r="C16" s="40">
        <f>AVERAGE(C11,C15)</f>
        <v/>
      </c>
      <c r="D16" s="40">
        <f>AVERAGE(D11,D15)</f>
        <v/>
      </c>
      <c r="E16" s="40">
        <f>AVERAGE(E11,E15)</f>
        <v/>
      </c>
      <c r="F16" s="40">
        <f>AVERAGE(F11,F15)</f>
        <v/>
      </c>
      <c r="G16" s="40">
        <f>AVERAGE(G11,G15)</f>
        <v/>
      </c>
      <c r="H16" s="40">
        <f>AVERAGE(H11,H15)</f>
        <v/>
      </c>
      <c r="I16" s="40">
        <f>AVERAGE(I11,I15)</f>
        <v/>
      </c>
      <c r="J16" s="40">
        <f>AVERAGE(J11,J15)</f>
        <v/>
      </c>
      <c r="K16" s="40">
        <f>AVERAGE(K11,K15)</f>
        <v/>
      </c>
      <c r="L16" s="40">
        <f>AVERAGE(L11,L15)</f>
        <v/>
      </c>
      <c r="M16" s="40">
        <f>AVERAGE(M11,M15)</f>
        <v/>
      </c>
      <c r="N16" s="40">
        <f>AVERAGE(N11,N15)</f>
        <v/>
      </c>
      <c r="O16" s="40">
        <f>AVERAGE(O11,O15)</f>
        <v/>
      </c>
      <c r="P16" s="40">
        <f>AVERAGE(P11,P15)</f>
        <v/>
      </c>
      <c r="Q16" s="40">
        <f>AVERAGE(Q11,Q15)</f>
        <v/>
      </c>
      <c r="R16" s="40">
        <f>AVERAGE(R11,R15)</f>
        <v/>
      </c>
      <c r="S16" s="40">
        <f>AVERAGE(S11,S15)</f>
        <v/>
      </c>
      <c r="T16" s="40">
        <f>AVERAGE(T11,T15)</f>
        <v/>
      </c>
      <c r="U16" s="40">
        <f>AVERAGE(U11,U15)</f>
        <v/>
      </c>
      <c r="V16" s="40">
        <f>AVERAGE(V11,V15)</f>
        <v/>
      </c>
      <c r="W16" s="40">
        <f>AVERAGE(W11,W15)</f>
        <v/>
      </c>
      <c r="X16" s="40">
        <f>AVERAGE(X11,X15)</f>
        <v/>
      </c>
      <c r="Y16" s="40">
        <f>AVERAGE(Y11,Y15)</f>
        <v/>
      </c>
      <c r="Z16" s="40">
        <f>AVERAGE(Z11,Z15)</f>
        <v/>
      </c>
      <c r="AA16" s="40">
        <f>AVERAGE(AA11,AA15)</f>
        <v/>
      </c>
      <c r="AB16" s="40">
        <f>AVERAGE(AB11,AB15)</f>
        <v/>
      </c>
      <c r="AC16" s="40">
        <f>AVERAGE(AC11,AC15)</f>
        <v/>
      </c>
      <c r="AD16" s="40">
        <f>AVERAGE(AD11,AD15)</f>
        <v/>
      </c>
      <c r="AE16" s="40">
        <f>AVERAGE(AE11,AE15)</f>
        <v/>
      </c>
      <c r="AF16" s="40">
        <f>AVERAGE(AF11,AF15)</f>
        <v/>
      </c>
      <c r="AG16" s="40">
        <f>AVERAGE(AG11,AG15)</f>
        <v/>
      </c>
      <c r="AH16" s="40">
        <f>AVERAGE(AH11,AH15)</f>
        <v/>
      </c>
      <c r="AI16" s="40">
        <f>AVERAGE(AI11,AI15)</f>
        <v/>
      </c>
      <c r="AJ16" s="40">
        <f>AVERAGE(AJ11,AJ15)</f>
        <v/>
      </c>
      <c r="AK16" s="40">
        <f>AVERAGE(AK11,AK15)</f>
        <v/>
      </c>
      <c r="AL16" s="40">
        <f>AVERAGE(AL11,AL15)</f>
        <v/>
      </c>
      <c r="AM16" s="40">
        <f>AVERAGE(AM11,AM15)</f>
        <v/>
      </c>
      <c r="AN16" s="40">
        <f>AVERAGE(AN11,AN15)</f>
        <v/>
      </c>
      <c r="AO16" s="40">
        <f>AVERAGE(AO11,AO15)</f>
        <v/>
      </c>
      <c r="AP16" s="40">
        <f>AVERAGE(AP11,AP15)</f>
        <v/>
      </c>
      <c r="AQ16" s="40">
        <f>AVERAGE(AQ11,AQ15)</f>
        <v/>
      </c>
      <c r="AR16" s="40">
        <f>AVERAGE(AR11,AR15)</f>
        <v/>
      </c>
      <c r="AS16" s="40">
        <f>AVERAGE(AS11,AS15)</f>
        <v/>
      </c>
      <c r="AT16" s="40">
        <f>AVERAGE(AT11,AT15)</f>
        <v/>
      </c>
      <c r="AU16" s="40">
        <f>AVERAGE(AU11,AU15)</f>
        <v/>
      </c>
      <c r="AV16" s="40">
        <f>AVERAGE(AV11,AV15)</f>
        <v/>
      </c>
      <c r="AW16" s="40">
        <f>AVERAGE(AW11,AW15)</f>
        <v/>
      </c>
      <c r="AX16" s="40">
        <f>AVERAGE(AX11,AX15)</f>
        <v/>
      </c>
      <c r="AY16" s="40">
        <f>AVERAGE(AY11,AY15)</f>
        <v/>
      </c>
      <c r="AZ16" s="40">
        <f>AVERAGE(AZ11,AZ15)</f>
        <v/>
      </c>
      <c r="BA16" s="40">
        <f>AVERAGE(BA11,BA15)</f>
        <v/>
      </c>
      <c r="BB16" s="40">
        <f>AVERAGE(BB11,BB15)</f>
        <v/>
      </c>
      <c r="BC16" s="40">
        <f>AVERAGE(BC11,BC15)</f>
        <v/>
      </c>
      <c r="BD16" s="40">
        <f>AVERAGE(BD11,BD15)</f>
        <v/>
      </c>
      <c r="BE16" s="40">
        <f>AVERAGE(BE11,BE15)</f>
        <v/>
      </c>
      <c r="BF16" s="40">
        <f>AVERAGE(BF11,BF15)</f>
        <v/>
      </c>
      <c r="BG16" s="40">
        <f>AVERAGE(BG11,BG15)</f>
        <v/>
      </c>
      <c r="BH16" s="40">
        <f>AVERAGE(BH11,BH15)</f>
        <v/>
      </c>
      <c r="BI16" s="40">
        <f>AVERAGE(BI11,BI15)</f>
        <v/>
      </c>
      <c r="BJ16" s="40">
        <f>AVERAGE(BJ11,BJ15)</f>
        <v/>
      </c>
      <c r="BK16" s="40">
        <f>AVERAGE(BK11,BK15)</f>
        <v/>
      </c>
      <c r="BL16" s="40">
        <f>AVERAGE(BL11,BL15)</f>
        <v/>
      </c>
      <c r="BM16" s="40">
        <f>AVERAGE(BM11,BM15)</f>
        <v/>
      </c>
      <c r="BN16" s="40">
        <f>AVERAGE(BN11,BN15)</f>
        <v/>
      </c>
      <c r="BO16" s="40">
        <f>AVERAGE(BO11,BO15)</f>
        <v/>
      </c>
      <c r="BP16" s="40">
        <f>AVERAGE(BP11,BP15)</f>
        <v/>
      </c>
      <c r="BQ16" s="40">
        <f>AVERAGE(BQ11,BQ15)</f>
        <v/>
      </c>
      <c r="BR16" s="40">
        <f>AVERAGE(BR11,BR15)</f>
        <v/>
      </c>
      <c r="BS16" s="40">
        <f>AVERAGE(BS11,BS15)</f>
        <v/>
      </c>
      <c r="BT16" s="40">
        <f>AVERAGE(BT11,BT15)</f>
        <v/>
      </c>
      <c r="BU16" s="40">
        <f>AVERAGE(BU11,BU15)</f>
        <v/>
      </c>
      <c r="BV16" s="40">
        <f>AVERAGE(BV11,BV15)</f>
        <v/>
      </c>
    </row>
    <row r="18">
      <c r="B18" s="41" t="inlineStr">
        <is>
          <t>THE GAME LAYER</t>
        </is>
      </c>
    </row>
    <row r="19">
      <c r="B19" s="38" t="inlineStr">
        <is>
          <t>Active players (avg)</t>
        </is>
      </c>
      <c r="C19" s="40">
        <f>C16*Assumptions!$C$22</f>
        <v/>
      </c>
      <c r="D19" s="40">
        <f>D16*Assumptions!$C$22</f>
        <v/>
      </c>
      <c r="E19" s="40">
        <f>E16*Assumptions!$C$22</f>
        <v/>
      </c>
      <c r="F19" s="40">
        <f>F16*Assumptions!$C$22</f>
        <v/>
      </c>
      <c r="G19" s="40">
        <f>G16*Assumptions!$C$22</f>
        <v/>
      </c>
      <c r="H19" s="40">
        <f>H16*Assumptions!$C$22</f>
        <v/>
      </c>
      <c r="I19" s="40">
        <f>I16*Assumptions!$C$22</f>
        <v/>
      </c>
      <c r="J19" s="40">
        <f>J16*Assumptions!$C$22</f>
        <v/>
      </c>
      <c r="K19" s="40">
        <f>K16*Assumptions!$C$22</f>
        <v/>
      </c>
      <c r="L19" s="40">
        <f>L16*Assumptions!$C$22</f>
        <v/>
      </c>
      <c r="M19" s="40">
        <f>M16*Assumptions!$C$22</f>
        <v/>
      </c>
      <c r="N19" s="40">
        <f>N16*Assumptions!$C$22</f>
        <v/>
      </c>
      <c r="O19" s="40">
        <f>O16*Assumptions!$C$22</f>
        <v/>
      </c>
      <c r="P19" s="40">
        <f>P16*Assumptions!$C$22</f>
        <v/>
      </c>
      <c r="Q19" s="40">
        <f>Q16*Assumptions!$C$22</f>
        <v/>
      </c>
      <c r="R19" s="40">
        <f>R16*Assumptions!$C$22</f>
        <v/>
      </c>
      <c r="S19" s="40">
        <f>S16*Assumptions!$C$22</f>
        <v/>
      </c>
      <c r="T19" s="40">
        <f>T16*Assumptions!$C$22</f>
        <v/>
      </c>
      <c r="U19" s="40">
        <f>U16*Assumptions!$C$22</f>
        <v/>
      </c>
      <c r="V19" s="40">
        <f>V16*Assumptions!$C$22</f>
        <v/>
      </c>
      <c r="W19" s="40">
        <f>W16*Assumptions!$C$22</f>
        <v/>
      </c>
      <c r="X19" s="40">
        <f>X16*Assumptions!$C$22</f>
        <v/>
      </c>
      <c r="Y19" s="40">
        <f>Y16*Assumptions!$C$22</f>
        <v/>
      </c>
      <c r="Z19" s="40">
        <f>Z16*Assumptions!$C$22</f>
        <v/>
      </c>
      <c r="AA19" s="40">
        <f>AA16*Assumptions!$C$22</f>
        <v/>
      </c>
      <c r="AB19" s="40">
        <f>AB16*Assumptions!$C$22</f>
        <v/>
      </c>
      <c r="AC19" s="40">
        <f>AC16*Assumptions!$C$22</f>
        <v/>
      </c>
      <c r="AD19" s="40">
        <f>AD16*Assumptions!$C$22</f>
        <v/>
      </c>
      <c r="AE19" s="40">
        <f>AE16*Assumptions!$C$22</f>
        <v/>
      </c>
      <c r="AF19" s="40">
        <f>AF16*Assumptions!$C$22</f>
        <v/>
      </c>
      <c r="AG19" s="40">
        <f>AG16*Assumptions!$C$22</f>
        <v/>
      </c>
      <c r="AH19" s="40">
        <f>AH16*Assumptions!$C$22</f>
        <v/>
      </c>
      <c r="AI19" s="40">
        <f>AI16*Assumptions!$C$22</f>
        <v/>
      </c>
      <c r="AJ19" s="40">
        <f>AJ16*Assumptions!$C$22</f>
        <v/>
      </c>
      <c r="AK19" s="40">
        <f>AK16*Assumptions!$C$22</f>
        <v/>
      </c>
      <c r="AL19" s="40">
        <f>AL16*Assumptions!$C$22</f>
        <v/>
      </c>
      <c r="AM19" s="40">
        <f>AM16*Assumptions!$C$22</f>
        <v/>
      </c>
      <c r="AN19" s="40">
        <f>AN16*Assumptions!$C$22</f>
        <v/>
      </c>
      <c r="AO19" s="40">
        <f>AO16*Assumptions!$C$22</f>
        <v/>
      </c>
      <c r="AP19" s="40">
        <f>AP16*Assumptions!$C$22</f>
        <v/>
      </c>
      <c r="AQ19" s="40">
        <f>AQ16*Assumptions!$C$22</f>
        <v/>
      </c>
      <c r="AR19" s="40">
        <f>AR16*Assumptions!$C$22</f>
        <v/>
      </c>
      <c r="AS19" s="40">
        <f>AS16*Assumptions!$C$22</f>
        <v/>
      </c>
      <c r="AT19" s="40">
        <f>AT16*Assumptions!$C$22</f>
        <v/>
      </c>
      <c r="AU19" s="40">
        <f>AU16*Assumptions!$C$22</f>
        <v/>
      </c>
      <c r="AV19" s="40">
        <f>AV16*Assumptions!$C$22</f>
        <v/>
      </c>
      <c r="AW19" s="40">
        <f>AW16*Assumptions!$C$22</f>
        <v/>
      </c>
      <c r="AX19" s="40">
        <f>AX16*Assumptions!$C$22</f>
        <v/>
      </c>
      <c r="AY19" s="40">
        <f>AY16*Assumptions!$C$22</f>
        <v/>
      </c>
      <c r="AZ19" s="40">
        <f>AZ16*Assumptions!$C$22</f>
        <v/>
      </c>
      <c r="BA19" s="40">
        <f>BA16*Assumptions!$C$22</f>
        <v/>
      </c>
      <c r="BB19" s="40">
        <f>BB16*Assumptions!$C$22</f>
        <v/>
      </c>
      <c r="BC19" s="40">
        <f>BC16*Assumptions!$C$22</f>
        <v/>
      </c>
      <c r="BD19" s="40">
        <f>BD16*Assumptions!$C$22</f>
        <v/>
      </c>
      <c r="BE19" s="40">
        <f>BE16*Assumptions!$C$22</f>
        <v/>
      </c>
      <c r="BF19" s="40">
        <f>BF16*Assumptions!$C$22</f>
        <v/>
      </c>
      <c r="BG19" s="40">
        <f>BG16*Assumptions!$C$22</f>
        <v/>
      </c>
      <c r="BH19" s="40">
        <f>BH16*Assumptions!$C$22</f>
        <v/>
      </c>
      <c r="BI19" s="40">
        <f>BI16*Assumptions!$C$22</f>
        <v/>
      </c>
      <c r="BJ19" s="40">
        <f>BJ16*Assumptions!$C$22</f>
        <v/>
      </c>
      <c r="BK19" s="40">
        <f>BK16*Assumptions!$C$22</f>
        <v/>
      </c>
      <c r="BL19" s="40">
        <f>BL16*Assumptions!$C$22</f>
        <v/>
      </c>
      <c r="BM19" s="40">
        <f>BM16*Assumptions!$C$22</f>
        <v/>
      </c>
      <c r="BN19" s="40">
        <f>BN16*Assumptions!$C$22</f>
        <v/>
      </c>
      <c r="BO19" s="40">
        <f>BO16*Assumptions!$C$22</f>
        <v/>
      </c>
      <c r="BP19" s="40">
        <f>BP16*Assumptions!$C$22</f>
        <v/>
      </c>
      <c r="BQ19" s="40">
        <f>BQ16*Assumptions!$C$22</f>
        <v/>
      </c>
      <c r="BR19" s="40">
        <f>BR16*Assumptions!$C$22</f>
        <v/>
      </c>
      <c r="BS19" s="40">
        <f>BS16*Assumptions!$C$22</f>
        <v/>
      </c>
      <c r="BT19" s="40">
        <f>BT16*Assumptions!$C$22</f>
        <v/>
      </c>
      <c r="BU19" s="40">
        <f>BU16*Assumptions!$C$22</f>
        <v/>
      </c>
      <c r="BV19" s="40">
        <f>BV16*Assumptions!$C$22</f>
        <v/>
      </c>
    </row>
    <row r="20">
      <c r="B20" s="38" t="inlineStr">
        <is>
          <t>Money slips</t>
        </is>
      </c>
      <c r="C20" s="40">
        <f>C19*Assumptions!$C$23/Assumptions!$C$24</f>
        <v/>
      </c>
      <c r="D20" s="40">
        <f>D19*Assumptions!$C$23/Assumptions!$C$24</f>
        <v/>
      </c>
      <c r="E20" s="40">
        <f>E19*Assumptions!$C$23/Assumptions!$C$24</f>
        <v/>
      </c>
      <c r="F20" s="40">
        <f>F19*Assumptions!$C$23/Assumptions!$C$24</f>
        <v/>
      </c>
      <c r="G20" s="40">
        <f>G19*Assumptions!$C$23/Assumptions!$C$24</f>
        <v/>
      </c>
      <c r="H20" s="40">
        <f>H19*Assumptions!$C$23/Assumptions!$C$24</f>
        <v/>
      </c>
      <c r="I20" s="40">
        <f>I19*Assumptions!$C$23/Assumptions!$C$24</f>
        <v/>
      </c>
      <c r="J20" s="40">
        <f>J19*Assumptions!$C$23/Assumptions!$C$24</f>
        <v/>
      </c>
      <c r="K20" s="40">
        <f>K19*Assumptions!$C$23/Assumptions!$C$24</f>
        <v/>
      </c>
      <c r="L20" s="40">
        <f>L19*Assumptions!$C$23/Assumptions!$C$24</f>
        <v/>
      </c>
      <c r="M20" s="40">
        <f>M19*Assumptions!$C$23/Assumptions!$C$24</f>
        <v/>
      </c>
      <c r="N20" s="40">
        <f>N19*Assumptions!$C$23/Assumptions!$C$24</f>
        <v/>
      </c>
      <c r="O20" s="40">
        <f>O19*Assumptions!$C$23/Assumptions!$C$24</f>
        <v/>
      </c>
      <c r="P20" s="40">
        <f>P19*Assumptions!$C$23/Assumptions!$C$24</f>
        <v/>
      </c>
      <c r="Q20" s="40">
        <f>Q19*Assumptions!$C$23/Assumptions!$C$24</f>
        <v/>
      </c>
      <c r="R20" s="40">
        <f>R19*Assumptions!$C$23/Assumptions!$C$24</f>
        <v/>
      </c>
      <c r="S20" s="40">
        <f>S19*Assumptions!$C$23/Assumptions!$C$24</f>
        <v/>
      </c>
      <c r="T20" s="40">
        <f>T19*Assumptions!$C$23/Assumptions!$C$24</f>
        <v/>
      </c>
      <c r="U20" s="40">
        <f>U19*Assumptions!$C$23/Assumptions!$C$24</f>
        <v/>
      </c>
      <c r="V20" s="40">
        <f>V19*Assumptions!$C$23/Assumptions!$C$24</f>
        <v/>
      </c>
      <c r="W20" s="40">
        <f>W19*Assumptions!$C$23/Assumptions!$C$24</f>
        <v/>
      </c>
      <c r="X20" s="40">
        <f>X19*Assumptions!$C$23/Assumptions!$C$24</f>
        <v/>
      </c>
      <c r="Y20" s="40">
        <f>Y19*Assumptions!$C$23/Assumptions!$C$24</f>
        <v/>
      </c>
      <c r="Z20" s="40">
        <f>Z19*Assumptions!$C$23/Assumptions!$C$24</f>
        <v/>
      </c>
      <c r="AA20" s="40">
        <f>AA19*Assumptions!$C$23/Assumptions!$C$24</f>
        <v/>
      </c>
      <c r="AB20" s="40">
        <f>AB19*Assumptions!$C$23/Assumptions!$C$24</f>
        <v/>
      </c>
      <c r="AC20" s="40">
        <f>AC19*Assumptions!$C$23/Assumptions!$C$24</f>
        <v/>
      </c>
      <c r="AD20" s="40">
        <f>AD19*Assumptions!$C$23/Assumptions!$C$24</f>
        <v/>
      </c>
      <c r="AE20" s="40">
        <f>AE19*Assumptions!$C$23/Assumptions!$C$24</f>
        <v/>
      </c>
      <c r="AF20" s="40">
        <f>AF19*Assumptions!$C$23/Assumptions!$C$24</f>
        <v/>
      </c>
      <c r="AG20" s="40">
        <f>AG19*Assumptions!$C$23/Assumptions!$C$24</f>
        <v/>
      </c>
      <c r="AH20" s="40">
        <f>AH19*Assumptions!$C$23/Assumptions!$C$24</f>
        <v/>
      </c>
      <c r="AI20" s="40">
        <f>AI19*Assumptions!$C$23/Assumptions!$C$24</f>
        <v/>
      </c>
      <c r="AJ20" s="40">
        <f>AJ19*Assumptions!$C$23/Assumptions!$C$24</f>
        <v/>
      </c>
      <c r="AK20" s="40">
        <f>AK19*Assumptions!$C$23/Assumptions!$C$24</f>
        <v/>
      </c>
      <c r="AL20" s="40">
        <f>AL19*Assumptions!$C$23/Assumptions!$C$24</f>
        <v/>
      </c>
      <c r="AM20" s="40">
        <f>AM19*Assumptions!$C$23/Assumptions!$C$24</f>
        <v/>
      </c>
      <c r="AN20" s="40">
        <f>AN19*Assumptions!$C$23/Assumptions!$C$24</f>
        <v/>
      </c>
      <c r="AO20" s="40">
        <f>AO19*Assumptions!$C$23/Assumptions!$C$24</f>
        <v/>
      </c>
      <c r="AP20" s="40">
        <f>AP19*Assumptions!$C$23/Assumptions!$C$24</f>
        <v/>
      </c>
      <c r="AQ20" s="40">
        <f>AQ19*Assumptions!$C$23/Assumptions!$C$24</f>
        <v/>
      </c>
      <c r="AR20" s="40">
        <f>AR19*Assumptions!$C$23/Assumptions!$C$24</f>
        <v/>
      </c>
      <c r="AS20" s="40">
        <f>AS19*Assumptions!$C$23/Assumptions!$C$24</f>
        <v/>
      </c>
      <c r="AT20" s="40">
        <f>AT19*Assumptions!$C$23/Assumptions!$C$24</f>
        <v/>
      </c>
      <c r="AU20" s="40">
        <f>AU19*Assumptions!$C$23/Assumptions!$C$24</f>
        <v/>
      </c>
      <c r="AV20" s="40">
        <f>AV19*Assumptions!$C$23/Assumptions!$C$24</f>
        <v/>
      </c>
      <c r="AW20" s="40">
        <f>AW19*Assumptions!$C$23/Assumptions!$C$24</f>
        <v/>
      </c>
      <c r="AX20" s="40">
        <f>AX19*Assumptions!$C$23/Assumptions!$C$24</f>
        <v/>
      </c>
      <c r="AY20" s="40">
        <f>AY19*Assumptions!$C$23/Assumptions!$C$24</f>
        <v/>
      </c>
      <c r="AZ20" s="40">
        <f>AZ19*Assumptions!$C$23/Assumptions!$C$24</f>
        <v/>
      </c>
      <c r="BA20" s="40">
        <f>BA19*Assumptions!$C$23/Assumptions!$C$24</f>
        <v/>
      </c>
      <c r="BB20" s="40">
        <f>BB19*Assumptions!$C$23/Assumptions!$C$24</f>
        <v/>
      </c>
      <c r="BC20" s="40">
        <f>BC19*Assumptions!$C$23/Assumptions!$C$24</f>
        <v/>
      </c>
      <c r="BD20" s="40">
        <f>BD19*Assumptions!$C$23/Assumptions!$C$24</f>
        <v/>
      </c>
      <c r="BE20" s="40">
        <f>BE19*Assumptions!$C$23/Assumptions!$C$24</f>
        <v/>
      </c>
      <c r="BF20" s="40">
        <f>BF19*Assumptions!$C$23/Assumptions!$C$24</f>
        <v/>
      </c>
      <c r="BG20" s="40">
        <f>BG19*Assumptions!$C$23/Assumptions!$C$24</f>
        <v/>
      </c>
      <c r="BH20" s="40">
        <f>BH19*Assumptions!$C$23/Assumptions!$C$24</f>
        <v/>
      </c>
      <c r="BI20" s="40">
        <f>BI19*Assumptions!$C$23/Assumptions!$C$24</f>
        <v/>
      </c>
      <c r="BJ20" s="40">
        <f>BJ19*Assumptions!$C$23/Assumptions!$C$24</f>
        <v/>
      </c>
      <c r="BK20" s="40">
        <f>BK19*Assumptions!$C$23/Assumptions!$C$24</f>
        <v/>
      </c>
      <c r="BL20" s="40">
        <f>BL19*Assumptions!$C$23/Assumptions!$C$24</f>
        <v/>
      </c>
      <c r="BM20" s="40">
        <f>BM19*Assumptions!$C$23/Assumptions!$C$24</f>
        <v/>
      </c>
      <c r="BN20" s="40">
        <f>BN19*Assumptions!$C$23/Assumptions!$C$24</f>
        <v/>
      </c>
      <c r="BO20" s="40">
        <f>BO19*Assumptions!$C$23/Assumptions!$C$24</f>
        <v/>
      </c>
      <c r="BP20" s="40">
        <f>BP19*Assumptions!$C$23/Assumptions!$C$24</f>
        <v/>
      </c>
      <c r="BQ20" s="40">
        <f>BQ19*Assumptions!$C$23/Assumptions!$C$24</f>
        <v/>
      </c>
      <c r="BR20" s="40">
        <f>BR19*Assumptions!$C$23/Assumptions!$C$24</f>
        <v/>
      </c>
      <c r="BS20" s="40">
        <f>BS19*Assumptions!$C$23/Assumptions!$C$24</f>
        <v/>
      </c>
      <c r="BT20" s="40">
        <f>BT19*Assumptions!$C$23/Assumptions!$C$24</f>
        <v/>
      </c>
      <c r="BU20" s="40">
        <f>BU19*Assumptions!$C$23/Assumptions!$C$24</f>
        <v/>
      </c>
      <c r="BV20" s="40">
        <f>BV19*Assumptions!$C$23/Assumptions!$C$24</f>
        <v/>
      </c>
    </row>
    <row r="21">
      <c r="B21" s="38" t="inlineStr">
        <is>
          <t>Peer GMV ($) — revenue ZERO</t>
        </is>
      </c>
      <c r="C21" s="40">
        <f>C20*Assumptions!$C$25</f>
        <v/>
      </c>
      <c r="D21" s="40">
        <f>D20*Assumptions!$C$25</f>
        <v/>
      </c>
      <c r="E21" s="40">
        <f>E20*Assumptions!$C$25</f>
        <v/>
      </c>
      <c r="F21" s="40">
        <f>F20*Assumptions!$C$25</f>
        <v/>
      </c>
      <c r="G21" s="40">
        <f>G20*Assumptions!$C$25</f>
        <v/>
      </c>
      <c r="H21" s="40">
        <f>H20*Assumptions!$C$25</f>
        <v/>
      </c>
      <c r="I21" s="40">
        <f>I20*Assumptions!$C$25</f>
        <v/>
      </c>
      <c r="J21" s="40">
        <f>J20*Assumptions!$C$25</f>
        <v/>
      </c>
      <c r="K21" s="40">
        <f>K20*Assumptions!$C$25</f>
        <v/>
      </c>
      <c r="L21" s="40">
        <f>L20*Assumptions!$C$25</f>
        <v/>
      </c>
      <c r="M21" s="40">
        <f>M20*Assumptions!$C$25</f>
        <v/>
      </c>
      <c r="N21" s="40">
        <f>N20*Assumptions!$C$25</f>
        <v/>
      </c>
      <c r="O21" s="40">
        <f>O20*Assumptions!$C$25</f>
        <v/>
      </c>
      <c r="P21" s="40">
        <f>P20*Assumptions!$C$25</f>
        <v/>
      </c>
      <c r="Q21" s="40">
        <f>Q20*Assumptions!$C$25</f>
        <v/>
      </c>
      <c r="R21" s="40">
        <f>R20*Assumptions!$C$25</f>
        <v/>
      </c>
      <c r="S21" s="40">
        <f>S20*Assumptions!$C$25</f>
        <v/>
      </c>
      <c r="T21" s="40">
        <f>T20*Assumptions!$C$25</f>
        <v/>
      </c>
      <c r="U21" s="40">
        <f>U20*Assumptions!$C$25</f>
        <v/>
      </c>
      <c r="V21" s="40">
        <f>V20*Assumptions!$C$25</f>
        <v/>
      </c>
      <c r="W21" s="40">
        <f>W20*Assumptions!$C$25</f>
        <v/>
      </c>
      <c r="X21" s="40">
        <f>X20*Assumptions!$C$25</f>
        <v/>
      </c>
      <c r="Y21" s="40">
        <f>Y20*Assumptions!$C$25</f>
        <v/>
      </c>
      <c r="Z21" s="40">
        <f>Z20*Assumptions!$C$25</f>
        <v/>
      </c>
      <c r="AA21" s="40">
        <f>AA20*Assumptions!$C$25</f>
        <v/>
      </c>
      <c r="AB21" s="40">
        <f>AB20*Assumptions!$C$25</f>
        <v/>
      </c>
      <c r="AC21" s="40">
        <f>AC20*Assumptions!$C$25</f>
        <v/>
      </c>
      <c r="AD21" s="40">
        <f>AD20*Assumptions!$C$25</f>
        <v/>
      </c>
      <c r="AE21" s="40">
        <f>AE20*Assumptions!$C$25</f>
        <v/>
      </c>
      <c r="AF21" s="40">
        <f>AF20*Assumptions!$C$25</f>
        <v/>
      </c>
      <c r="AG21" s="40">
        <f>AG20*Assumptions!$C$25</f>
        <v/>
      </c>
      <c r="AH21" s="40">
        <f>AH20*Assumptions!$C$25</f>
        <v/>
      </c>
      <c r="AI21" s="40">
        <f>AI20*Assumptions!$C$25</f>
        <v/>
      </c>
      <c r="AJ21" s="40">
        <f>AJ20*Assumptions!$C$25</f>
        <v/>
      </c>
      <c r="AK21" s="40">
        <f>AK20*Assumptions!$C$25</f>
        <v/>
      </c>
      <c r="AL21" s="40">
        <f>AL20*Assumptions!$C$25</f>
        <v/>
      </c>
      <c r="AM21" s="40">
        <f>AM20*Assumptions!$C$25</f>
        <v/>
      </c>
      <c r="AN21" s="40">
        <f>AN20*Assumptions!$C$25</f>
        <v/>
      </c>
      <c r="AO21" s="40">
        <f>AO20*Assumptions!$C$25</f>
        <v/>
      </c>
      <c r="AP21" s="40">
        <f>AP20*Assumptions!$C$25</f>
        <v/>
      </c>
      <c r="AQ21" s="40">
        <f>AQ20*Assumptions!$C$25</f>
        <v/>
      </c>
      <c r="AR21" s="40">
        <f>AR20*Assumptions!$C$25</f>
        <v/>
      </c>
      <c r="AS21" s="40">
        <f>AS20*Assumptions!$C$25</f>
        <v/>
      </c>
      <c r="AT21" s="40">
        <f>AT20*Assumptions!$C$25</f>
        <v/>
      </c>
      <c r="AU21" s="40">
        <f>AU20*Assumptions!$C$25</f>
        <v/>
      </c>
      <c r="AV21" s="40">
        <f>AV20*Assumptions!$C$25</f>
        <v/>
      </c>
      <c r="AW21" s="40">
        <f>AW20*Assumptions!$C$25</f>
        <v/>
      </c>
      <c r="AX21" s="40">
        <f>AX20*Assumptions!$C$25</f>
        <v/>
      </c>
      <c r="AY21" s="40">
        <f>AY20*Assumptions!$C$25</f>
        <v/>
      </c>
      <c r="AZ21" s="40">
        <f>AZ20*Assumptions!$C$25</f>
        <v/>
      </c>
      <c r="BA21" s="40">
        <f>BA20*Assumptions!$C$25</f>
        <v/>
      </c>
      <c r="BB21" s="40">
        <f>BB20*Assumptions!$C$25</f>
        <v/>
      </c>
      <c r="BC21" s="40">
        <f>BC20*Assumptions!$C$25</f>
        <v/>
      </c>
      <c r="BD21" s="40">
        <f>BD20*Assumptions!$C$25</f>
        <v/>
      </c>
      <c r="BE21" s="40">
        <f>BE20*Assumptions!$C$25</f>
        <v/>
      </c>
      <c r="BF21" s="40">
        <f>BF20*Assumptions!$C$25</f>
        <v/>
      </c>
      <c r="BG21" s="40">
        <f>BG20*Assumptions!$C$25</f>
        <v/>
      </c>
      <c r="BH21" s="40">
        <f>BH20*Assumptions!$C$25</f>
        <v/>
      </c>
      <c r="BI21" s="40">
        <f>BI20*Assumptions!$C$25</f>
        <v/>
      </c>
      <c r="BJ21" s="40">
        <f>BJ20*Assumptions!$C$25</f>
        <v/>
      </c>
      <c r="BK21" s="40">
        <f>BK20*Assumptions!$C$25</f>
        <v/>
      </c>
      <c r="BL21" s="40">
        <f>BL20*Assumptions!$C$25</f>
        <v/>
      </c>
      <c r="BM21" s="40">
        <f>BM20*Assumptions!$C$25</f>
        <v/>
      </c>
      <c r="BN21" s="40">
        <f>BN20*Assumptions!$C$25</f>
        <v/>
      </c>
      <c r="BO21" s="40">
        <f>BO20*Assumptions!$C$25</f>
        <v/>
      </c>
      <c r="BP21" s="40">
        <f>BP20*Assumptions!$C$25</f>
        <v/>
      </c>
      <c r="BQ21" s="40">
        <f>BQ20*Assumptions!$C$25</f>
        <v/>
      </c>
      <c r="BR21" s="40">
        <f>BR20*Assumptions!$C$25</f>
        <v/>
      </c>
      <c r="BS21" s="40">
        <f>BS20*Assumptions!$C$25</f>
        <v/>
      </c>
      <c r="BT21" s="40">
        <f>BT20*Assumptions!$C$25</f>
        <v/>
      </c>
      <c r="BU21" s="40">
        <f>BU20*Assumptions!$C$25</f>
        <v/>
      </c>
      <c r="BV21" s="40">
        <f>BV20*Assumptions!$C$25</f>
        <v/>
      </c>
    </row>
    <row r="23">
      <c r="B23" s="41" t="inlineStr">
        <is>
          <t>REVENUE ($)</t>
        </is>
      </c>
    </row>
    <row r="24">
      <c r="B24" s="38" t="inlineStr">
        <is>
          <t>Subscriptions</t>
        </is>
      </c>
      <c r="C24" s="40">
        <f>C16*Assumptions!$C$19</f>
        <v/>
      </c>
      <c r="D24" s="40">
        <f>D16*Assumptions!$C$19</f>
        <v/>
      </c>
      <c r="E24" s="40">
        <f>E16*Assumptions!$C$19</f>
        <v/>
      </c>
      <c r="F24" s="40">
        <f>F16*Assumptions!$C$19</f>
        <v/>
      </c>
      <c r="G24" s="40">
        <f>G16*Assumptions!$C$19</f>
        <v/>
      </c>
      <c r="H24" s="40">
        <f>H16*Assumptions!$C$19</f>
        <v/>
      </c>
      <c r="I24" s="40">
        <f>I16*Assumptions!$C$19</f>
        <v/>
      </c>
      <c r="J24" s="40">
        <f>J16*Assumptions!$C$19</f>
        <v/>
      </c>
      <c r="K24" s="40">
        <f>K16*Assumptions!$C$19</f>
        <v/>
      </c>
      <c r="L24" s="40">
        <f>L16*Assumptions!$C$19</f>
        <v/>
      </c>
      <c r="M24" s="40">
        <f>M16*Assumptions!$C$19</f>
        <v/>
      </c>
      <c r="N24" s="40">
        <f>N16*Assumptions!$C$19</f>
        <v/>
      </c>
      <c r="O24" s="40">
        <f>O16*Assumptions!$C$19</f>
        <v/>
      </c>
      <c r="P24" s="40">
        <f>P16*Assumptions!$C$19</f>
        <v/>
      </c>
      <c r="Q24" s="40">
        <f>Q16*Assumptions!$C$19</f>
        <v/>
      </c>
      <c r="R24" s="40">
        <f>R16*Assumptions!$C$19</f>
        <v/>
      </c>
      <c r="S24" s="40">
        <f>S16*Assumptions!$C$19</f>
        <v/>
      </c>
      <c r="T24" s="40">
        <f>T16*Assumptions!$C$19</f>
        <v/>
      </c>
      <c r="U24" s="40">
        <f>U16*Assumptions!$C$19</f>
        <v/>
      </c>
      <c r="V24" s="40">
        <f>V16*Assumptions!$C$19</f>
        <v/>
      </c>
      <c r="W24" s="40">
        <f>W16*Assumptions!$C$19</f>
        <v/>
      </c>
      <c r="X24" s="40">
        <f>X16*Assumptions!$C$19</f>
        <v/>
      </c>
      <c r="Y24" s="40">
        <f>Y16*Assumptions!$C$19</f>
        <v/>
      </c>
      <c r="Z24" s="40">
        <f>Z16*Assumptions!$C$19</f>
        <v/>
      </c>
      <c r="AA24" s="40">
        <f>AA16*Assumptions!$C$19</f>
        <v/>
      </c>
      <c r="AB24" s="40">
        <f>AB16*Assumptions!$C$19</f>
        <v/>
      </c>
      <c r="AC24" s="40">
        <f>AC16*Assumptions!$C$19</f>
        <v/>
      </c>
      <c r="AD24" s="40">
        <f>AD16*Assumptions!$C$19</f>
        <v/>
      </c>
      <c r="AE24" s="40">
        <f>AE16*Assumptions!$C$19</f>
        <v/>
      </c>
      <c r="AF24" s="40">
        <f>AF16*Assumptions!$C$19</f>
        <v/>
      </c>
      <c r="AG24" s="40">
        <f>AG16*Assumptions!$C$19</f>
        <v/>
      </c>
      <c r="AH24" s="40">
        <f>AH16*Assumptions!$C$19</f>
        <v/>
      </c>
      <c r="AI24" s="40">
        <f>AI16*Assumptions!$C$19</f>
        <v/>
      </c>
      <c r="AJ24" s="40">
        <f>AJ16*Assumptions!$C$19</f>
        <v/>
      </c>
      <c r="AK24" s="40">
        <f>AK16*Assumptions!$C$19</f>
        <v/>
      </c>
      <c r="AL24" s="40">
        <f>AL16*Assumptions!$C$19</f>
        <v/>
      </c>
      <c r="AM24" s="40">
        <f>AM16*Assumptions!$C$19</f>
        <v/>
      </c>
      <c r="AN24" s="40">
        <f>AN16*Assumptions!$C$19</f>
        <v/>
      </c>
      <c r="AO24" s="40">
        <f>AO16*Assumptions!$C$19</f>
        <v/>
      </c>
      <c r="AP24" s="40">
        <f>AP16*Assumptions!$C$19</f>
        <v/>
      </c>
      <c r="AQ24" s="40">
        <f>AQ16*Assumptions!$C$19</f>
        <v/>
      </c>
      <c r="AR24" s="40">
        <f>AR16*Assumptions!$C$19</f>
        <v/>
      </c>
      <c r="AS24" s="40">
        <f>AS16*Assumptions!$C$19</f>
        <v/>
      </c>
      <c r="AT24" s="40">
        <f>AT16*Assumptions!$C$19</f>
        <v/>
      </c>
      <c r="AU24" s="40">
        <f>AU16*Assumptions!$C$19</f>
        <v/>
      </c>
      <c r="AV24" s="40">
        <f>AV16*Assumptions!$C$19</f>
        <v/>
      </c>
      <c r="AW24" s="40">
        <f>AW16*Assumptions!$C$19</f>
        <v/>
      </c>
      <c r="AX24" s="40">
        <f>AX16*Assumptions!$C$19</f>
        <v/>
      </c>
      <c r="AY24" s="40">
        <f>AY16*Assumptions!$C$19</f>
        <v/>
      </c>
      <c r="AZ24" s="40">
        <f>AZ16*Assumptions!$C$19</f>
        <v/>
      </c>
      <c r="BA24" s="40">
        <f>BA16*Assumptions!$C$19</f>
        <v/>
      </c>
      <c r="BB24" s="40">
        <f>BB16*Assumptions!$C$19</f>
        <v/>
      </c>
      <c r="BC24" s="40">
        <f>BC16*Assumptions!$C$19</f>
        <v/>
      </c>
      <c r="BD24" s="40">
        <f>BD16*Assumptions!$C$19</f>
        <v/>
      </c>
      <c r="BE24" s="40">
        <f>BE16*Assumptions!$C$19</f>
        <v/>
      </c>
      <c r="BF24" s="40">
        <f>BF16*Assumptions!$C$19</f>
        <v/>
      </c>
      <c r="BG24" s="40">
        <f>BG16*Assumptions!$C$19</f>
        <v/>
      </c>
      <c r="BH24" s="40">
        <f>BH16*Assumptions!$C$19</f>
        <v/>
      </c>
      <c r="BI24" s="40">
        <f>BI16*Assumptions!$C$19</f>
        <v/>
      </c>
      <c r="BJ24" s="40">
        <f>BJ16*Assumptions!$C$19</f>
        <v/>
      </c>
      <c r="BK24" s="40">
        <f>BK16*Assumptions!$C$19</f>
        <v/>
      </c>
      <c r="BL24" s="40">
        <f>BL16*Assumptions!$C$19</f>
        <v/>
      </c>
      <c r="BM24" s="40">
        <f>BM16*Assumptions!$C$19</f>
        <v/>
      </c>
      <c r="BN24" s="40">
        <f>BN16*Assumptions!$C$19</f>
        <v/>
      </c>
      <c r="BO24" s="40">
        <f>BO16*Assumptions!$C$19</f>
        <v/>
      </c>
      <c r="BP24" s="40">
        <f>BP16*Assumptions!$C$19</f>
        <v/>
      </c>
      <c r="BQ24" s="40">
        <f>BQ16*Assumptions!$C$19</f>
        <v/>
      </c>
      <c r="BR24" s="40">
        <f>BR16*Assumptions!$C$19</f>
        <v/>
      </c>
      <c r="BS24" s="40">
        <f>BS16*Assumptions!$C$19</f>
        <v/>
      </c>
      <c r="BT24" s="40">
        <f>BT16*Assumptions!$C$19</f>
        <v/>
      </c>
      <c r="BU24" s="40">
        <f>BU16*Assumptions!$C$19</f>
        <v/>
      </c>
      <c r="BV24" s="40">
        <f>BV16*Assumptions!$C$19</f>
        <v/>
      </c>
    </row>
    <row r="25">
      <c r="B25" s="38" t="inlineStr">
        <is>
          <t>Jackpot entries — gross</t>
        </is>
      </c>
      <c r="C25" s="40">
        <f>C20*Assumptions!$C$28*Assumptions!$C$24*Assumptions!$C$29</f>
        <v/>
      </c>
      <c r="D25" s="40">
        <f>D20*Assumptions!$C$28*Assumptions!$C$24*Assumptions!$C$29</f>
        <v/>
      </c>
      <c r="E25" s="40">
        <f>E20*Assumptions!$C$28*Assumptions!$C$24*Assumptions!$C$29</f>
        <v/>
      </c>
      <c r="F25" s="40">
        <f>F20*Assumptions!$C$28*Assumptions!$C$24*Assumptions!$C$29</f>
        <v/>
      </c>
      <c r="G25" s="40">
        <f>G20*Assumptions!$C$28*Assumptions!$C$24*Assumptions!$C$29</f>
        <v/>
      </c>
      <c r="H25" s="40">
        <f>H20*Assumptions!$C$28*Assumptions!$C$24*Assumptions!$C$29</f>
        <v/>
      </c>
      <c r="I25" s="40">
        <f>I20*Assumptions!$C$28*Assumptions!$C$24*Assumptions!$C$29</f>
        <v/>
      </c>
      <c r="J25" s="40">
        <f>J20*Assumptions!$C$28*Assumptions!$C$24*Assumptions!$C$29</f>
        <v/>
      </c>
      <c r="K25" s="40">
        <f>K20*Assumptions!$C$28*Assumptions!$C$24*Assumptions!$C$29</f>
        <v/>
      </c>
      <c r="L25" s="40">
        <f>L20*Assumptions!$C$28*Assumptions!$C$24*Assumptions!$C$29</f>
        <v/>
      </c>
      <c r="M25" s="40">
        <f>M20*Assumptions!$C$28*Assumptions!$C$24*Assumptions!$C$29</f>
        <v/>
      </c>
      <c r="N25" s="40">
        <f>N20*Assumptions!$C$28*Assumptions!$C$24*Assumptions!$C$29</f>
        <v/>
      </c>
      <c r="O25" s="40">
        <f>O20*Assumptions!$C$28*Assumptions!$C$24*Assumptions!$C$29</f>
        <v/>
      </c>
      <c r="P25" s="40">
        <f>P20*Assumptions!$C$28*Assumptions!$C$24*Assumptions!$C$29</f>
        <v/>
      </c>
      <c r="Q25" s="40">
        <f>Q20*Assumptions!$C$28*Assumptions!$C$24*Assumptions!$C$29</f>
        <v/>
      </c>
      <c r="R25" s="40">
        <f>R20*Assumptions!$C$28*Assumptions!$C$24*Assumptions!$C$29</f>
        <v/>
      </c>
      <c r="S25" s="40">
        <f>S20*Assumptions!$C$28*Assumptions!$C$24*Assumptions!$C$29</f>
        <v/>
      </c>
      <c r="T25" s="40">
        <f>T20*Assumptions!$C$28*Assumptions!$C$24*Assumptions!$C$29</f>
        <v/>
      </c>
      <c r="U25" s="40">
        <f>U20*Assumptions!$C$28*Assumptions!$C$24*Assumptions!$C$29</f>
        <v/>
      </c>
      <c r="V25" s="40">
        <f>V20*Assumptions!$C$28*Assumptions!$C$24*Assumptions!$C$29</f>
        <v/>
      </c>
      <c r="W25" s="40">
        <f>W20*Assumptions!$C$28*Assumptions!$C$24*Assumptions!$C$29</f>
        <v/>
      </c>
      <c r="X25" s="40">
        <f>X20*Assumptions!$C$28*Assumptions!$C$24*Assumptions!$C$29</f>
        <v/>
      </c>
      <c r="Y25" s="40">
        <f>Y20*Assumptions!$C$28*Assumptions!$C$24*Assumptions!$C$29</f>
        <v/>
      </c>
      <c r="Z25" s="40">
        <f>Z20*Assumptions!$C$28*Assumptions!$C$24*Assumptions!$C$29</f>
        <v/>
      </c>
      <c r="AA25" s="40">
        <f>AA20*Assumptions!$C$28*Assumptions!$C$24*Assumptions!$C$29</f>
        <v/>
      </c>
      <c r="AB25" s="40">
        <f>AB20*Assumptions!$C$28*Assumptions!$C$24*Assumptions!$C$29</f>
        <v/>
      </c>
      <c r="AC25" s="40">
        <f>AC20*Assumptions!$C$28*Assumptions!$C$24*Assumptions!$C$29</f>
        <v/>
      </c>
      <c r="AD25" s="40">
        <f>AD20*Assumptions!$C$28*Assumptions!$C$24*Assumptions!$C$29</f>
        <v/>
      </c>
      <c r="AE25" s="40">
        <f>AE20*Assumptions!$C$28*Assumptions!$C$24*Assumptions!$C$29</f>
        <v/>
      </c>
      <c r="AF25" s="40">
        <f>AF20*Assumptions!$C$28*Assumptions!$C$24*Assumptions!$C$29</f>
        <v/>
      </c>
      <c r="AG25" s="40">
        <f>AG20*Assumptions!$C$28*Assumptions!$C$24*Assumptions!$C$29</f>
        <v/>
      </c>
      <c r="AH25" s="40">
        <f>AH20*Assumptions!$C$28*Assumptions!$C$24*Assumptions!$C$29</f>
        <v/>
      </c>
      <c r="AI25" s="40">
        <f>AI20*Assumptions!$C$28*Assumptions!$C$24*Assumptions!$C$29</f>
        <v/>
      </c>
      <c r="AJ25" s="40">
        <f>AJ20*Assumptions!$C$28*Assumptions!$C$24*Assumptions!$C$29</f>
        <v/>
      </c>
      <c r="AK25" s="40">
        <f>AK20*Assumptions!$C$28*Assumptions!$C$24*Assumptions!$C$29</f>
        <v/>
      </c>
      <c r="AL25" s="40">
        <f>AL20*Assumptions!$C$28*Assumptions!$C$24*Assumptions!$C$29</f>
        <v/>
      </c>
      <c r="AM25" s="40">
        <f>AM20*Assumptions!$C$28*Assumptions!$C$24*Assumptions!$C$29</f>
        <v/>
      </c>
      <c r="AN25" s="40">
        <f>AN20*Assumptions!$C$28*Assumptions!$C$24*Assumptions!$C$29</f>
        <v/>
      </c>
      <c r="AO25" s="40">
        <f>AO20*Assumptions!$C$28*Assumptions!$C$24*Assumptions!$C$29</f>
        <v/>
      </c>
      <c r="AP25" s="40">
        <f>AP20*Assumptions!$C$28*Assumptions!$C$24*Assumptions!$C$29</f>
        <v/>
      </c>
      <c r="AQ25" s="40">
        <f>AQ20*Assumptions!$C$28*Assumptions!$C$24*Assumptions!$C$29</f>
        <v/>
      </c>
      <c r="AR25" s="40">
        <f>AR20*Assumptions!$C$28*Assumptions!$C$24*Assumptions!$C$29</f>
        <v/>
      </c>
      <c r="AS25" s="40">
        <f>AS20*Assumptions!$C$28*Assumptions!$C$24*Assumptions!$C$29</f>
        <v/>
      </c>
      <c r="AT25" s="40">
        <f>AT20*Assumptions!$C$28*Assumptions!$C$24*Assumptions!$C$29</f>
        <v/>
      </c>
      <c r="AU25" s="40">
        <f>AU20*Assumptions!$C$28*Assumptions!$C$24*Assumptions!$C$29</f>
        <v/>
      </c>
      <c r="AV25" s="40">
        <f>AV20*Assumptions!$C$28*Assumptions!$C$24*Assumptions!$C$29</f>
        <v/>
      </c>
      <c r="AW25" s="40">
        <f>AW20*Assumptions!$C$28*Assumptions!$C$24*Assumptions!$C$29</f>
        <v/>
      </c>
      <c r="AX25" s="40">
        <f>AX20*Assumptions!$C$28*Assumptions!$C$24*Assumptions!$C$29</f>
        <v/>
      </c>
      <c r="AY25" s="40">
        <f>AY20*Assumptions!$C$28*Assumptions!$C$24*Assumptions!$C$29</f>
        <v/>
      </c>
      <c r="AZ25" s="40">
        <f>AZ20*Assumptions!$C$28*Assumptions!$C$24*Assumptions!$C$29</f>
        <v/>
      </c>
      <c r="BA25" s="40">
        <f>BA20*Assumptions!$C$28*Assumptions!$C$24*Assumptions!$C$29</f>
        <v/>
      </c>
      <c r="BB25" s="40">
        <f>BB20*Assumptions!$C$28*Assumptions!$C$24*Assumptions!$C$29</f>
        <v/>
      </c>
      <c r="BC25" s="40">
        <f>BC20*Assumptions!$C$28*Assumptions!$C$24*Assumptions!$C$29</f>
        <v/>
      </c>
      <c r="BD25" s="40">
        <f>BD20*Assumptions!$C$28*Assumptions!$C$24*Assumptions!$C$29</f>
        <v/>
      </c>
      <c r="BE25" s="40">
        <f>BE20*Assumptions!$C$28*Assumptions!$C$24*Assumptions!$C$29</f>
        <v/>
      </c>
      <c r="BF25" s="40">
        <f>BF20*Assumptions!$C$28*Assumptions!$C$24*Assumptions!$C$29</f>
        <v/>
      </c>
      <c r="BG25" s="40">
        <f>BG20*Assumptions!$C$28*Assumptions!$C$24*Assumptions!$C$29</f>
        <v/>
      </c>
      <c r="BH25" s="40">
        <f>BH20*Assumptions!$C$28*Assumptions!$C$24*Assumptions!$C$29</f>
        <v/>
      </c>
      <c r="BI25" s="40">
        <f>BI20*Assumptions!$C$28*Assumptions!$C$24*Assumptions!$C$29</f>
        <v/>
      </c>
      <c r="BJ25" s="40">
        <f>BJ20*Assumptions!$C$28*Assumptions!$C$24*Assumptions!$C$29</f>
        <v/>
      </c>
      <c r="BK25" s="40">
        <f>BK20*Assumptions!$C$28*Assumptions!$C$24*Assumptions!$C$29</f>
        <v/>
      </c>
      <c r="BL25" s="40">
        <f>BL20*Assumptions!$C$28*Assumptions!$C$24*Assumptions!$C$29</f>
        <v/>
      </c>
      <c r="BM25" s="40">
        <f>BM20*Assumptions!$C$28*Assumptions!$C$24*Assumptions!$C$29</f>
        <v/>
      </c>
      <c r="BN25" s="40">
        <f>BN20*Assumptions!$C$28*Assumptions!$C$24*Assumptions!$C$29</f>
        <v/>
      </c>
      <c r="BO25" s="40">
        <f>BO20*Assumptions!$C$28*Assumptions!$C$24*Assumptions!$C$29</f>
        <v/>
      </c>
      <c r="BP25" s="40">
        <f>BP20*Assumptions!$C$28*Assumptions!$C$24*Assumptions!$C$29</f>
        <v/>
      </c>
      <c r="BQ25" s="40">
        <f>BQ20*Assumptions!$C$28*Assumptions!$C$24*Assumptions!$C$29</f>
        <v/>
      </c>
      <c r="BR25" s="40">
        <f>BR20*Assumptions!$C$28*Assumptions!$C$24*Assumptions!$C$29</f>
        <v/>
      </c>
      <c r="BS25" s="40">
        <f>BS20*Assumptions!$C$28*Assumptions!$C$24*Assumptions!$C$29</f>
        <v/>
      </c>
      <c r="BT25" s="40">
        <f>BT20*Assumptions!$C$28*Assumptions!$C$24*Assumptions!$C$29</f>
        <v/>
      </c>
      <c r="BU25" s="40">
        <f>BU20*Assumptions!$C$28*Assumptions!$C$24*Assumptions!$C$29</f>
        <v/>
      </c>
      <c r="BV25" s="40">
        <f>BV20*Assumptions!$C$28*Assumptions!$C$24*Assumptions!$C$29</f>
        <v/>
      </c>
    </row>
    <row r="26">
      <c r="B26" s="38" t="inlineStr">
        <is>
          <t>Jackpot — net to Get Lucky</t>
        </is>
      </c>
      <c r="C26" s="40">
        <f>C25*Assumptions!$C$30</f>
        <v/>
      </c>
      <c r="D26" s="40">
        <f>D25*Assumptions!$C$30</f>
        <v/>
      </c>
      <c r="E26" s="40">
        <f>E25*Assumptions!$C$30</f>
        <v/>
      </c>
      <c r="F26" s="40">
        <f>F25*Assumptions!$C$30</f>
        <v/>
      </c>
      <c r="G26" s="40">
        <f>G25*Assumptions!$C$30</f>
        <v/>
      </c>
      <c r="H26" s="40">
        <f>H25*Assumptions!$C$30</f>
        <v/>
      </c>
      <c r="I26" s="40">
        <f>I25*Assumptions!$C$30</f>
        <v/>
      </c>
      <c r="J26" s="40">
        <f>J25*Assumptions!$C$30</f>
        <v/>
      </c>
      <c r="K26" s="40">
        <f>K25*Assumptions!$C$30</f>
        <v/>
      </c>
      <c r="L26" s="40">
        <f>L25*Assumptions!$C$30</f>
        <v/>
      </c>
      <c r="M26" s="40">
        <f>M25*Assumptions!$C$30</f>
        <v/>
      </c>
      <c r="N26" s="40">
        <f>N25*Assumptions!$C$30</f>
        <v/>
      </c>
      <c r="O26" s="40">
        <f>O25*Assumptions!$C$30</f>
        <v/>
      </c>
      <c r="P26" s="40">
        <f>P25*Assumptions!$C$30</f>
        <v/>
      </c>
      <c r="Q26" s="40">
        <f>Q25*Assumptions!$C$30</f>
        <v/>
      </c>
      <c r="R26" s="40">
        <f>R25*Assumptions!$C$30</f>
        <v/>
      </c>
      <c r="S26" s="40">
        <f>S25*Assumptions!$C$30</f>
        <v/>
      </c>
      <c r="T26" s="40">
        <f>T25*Assumptions!$C$30</f>
        <v/>
      </c>
      <c r="U26" s="40">
        <f>U25*Assumptions!$C$30</f>
        <v/>
      </c>
      <c r="V26" s="40">
        <f>V25*Assumptions!$C$30</f>
        <v/>
      </c>
      <c r="W26" s="40">
        <f>W25*Assumptions!$C$30</f>
        <v/>
      </c>
      <c r="X26" s="40">
        <f>X25*Assumptions!$C$30</f>
        <v/>
      </c>
      <c r="Y26" s="40">
        <f>Y25*Assumptions!$C$30</f>
        <v/>
      </c>
      <c r="Z26" s="40">
        <f>Z25*Assumptions!$C$30</f>
        <v/>
      </c>
      <c r="AA26" s="40">
        <f>AA25*Assumptions!$C$30</f>
        <v/>
      </c>
      <c r="AB26" s="40">
        <f>AB25*Assumptions!$C$30</f>
        <v/>
      </c>
      <c r="AC26" s="40">
        <f>AC25*Assumptions!$C$30</f>
        <v/>
      </c>
      <c r="AD26" s="40">
        <f>AD25*Assumptions!$C$30</f>
        <v/>
      </c>
      <c r="AE26" s="40">
        <f>AE25*Assumptions!$C$30</f>
        <v/>
      </c>
      <c r="AF26" s="40">
        <f>AF25*Assumptions!$C$30</f>
        <v/>
      </c>
      <c r="AG26" s="40">
        <f>AG25*Assumptions!$C$30</f>
        <v/>
      </c>
      <c r="AH26" s="40">
        <f>AH25*Assumptions!$C$30</f>
        <v/>
      </c>
      <c r="AI26" s="40">
        <f>AI25*Assumptions!$C$30</f>
        <v/>
      </c>
      <c r="AJ26" s="40">
        <f>AJ25*Assumptions!$C$30</f>
        <v/>
      </c>
      <c r="AK26" s="40">
        <f>AK25*Assumptions!$C$30</f>
        <v/>
      </c>
      <c r="AL26" s="40">
        <f>AL25*Assumptions!$C$30</f>
        <v/>
      </c>
      <c r="AM26" s="40">
        <f>AM25*Assumptions!$C$30</f>
        <v/>
      </c>
      <c r="AN26" s="40">
        <f>AN25*Assumptions!$C$30</f>
        <v/>
      </c>
      <c r="AO26" s="40">
        <f>AO25*Assumptions!$C$30</f>
        <v/>
      </c>
      <c r="AP26" s="40">
        <f>AP25*Assumptions!$C$30</f>
        <v/>
      </c>
      <c r="AQ26" s="40">
        <f>AQ25*Assumptions!$C$30</f>
        <v/>
      </c>
      <c r="AR26" s="40">
        <f>AR25*Assumptions!$C$30</f>
        <v/>
      </c>
      <c r="AS26" s="40">
        <f>AS25*Assumptions!$C$30</f>
        <v/>
      </c>
      <c r="AT26" s="40">
        <f>AT25*Assumptions!$C$30</f>
        <v/>
      </c>
      <c r="AU26" s="40">
        <f>AU25*Assumptions!$C$30</f>
        <v/>
      </c>
      <c r="AV26" s="40">
        <f>AV25*Assumptions!$C$30</f>
        <v/>
      </c>
      <c r="AW26" s="40">
        <f>AW25*Assumptions!$C$30</f>
        <v/>
      </c>
      <c r="AX26" s="40">
        <f>AX25*Assumptions!$C$30</f>
        <v/>
      </c>
      <c r="AY26" s="40">
        <f>AY25*Assumptions!$C$30</f>
        <v/>
      </c>
      <c r="AZ26" s="40">
        <f>AZ25*Assumptions!$C$30</f>
        <v/>
      </c>
      <c r="BA26" s="40">
        <f>BA25*Assumptions!$C$30</f>
        <v/>
      </c>
      <c r="BB26" s="40">
        <f>BB25*Assumptions!$C$30</f>
        <v/>
      </c>
      <c r="BC26" s="40">
        <f>BC25*Assumptions!$C$30</f>
        <v/>
      </c>
      <c r="BD26" s="40">
        <f>BD25*Assumptions!$C$30</f>
        <v/>
      </c>
      <c r="BE26" s="40">
        <f>BE25*Assumptions!$C$30</f>
        <v/>
      </c>
      <c r="BF26" s="40">
        <f>BF25*Assumptions!$C$30</f>
        <v/>
      </c>
      <c r="BG26" s="40">
        <f>BG25*Assumptions!$C$30</f>
        <v/>
      </c>
      <c r="BH26" s="40">
        <f>BH25*Assumptions!$C$30</f>
        <v/>
      </c>
      <c r="BI26" s="40">
        <f>BI25*Assumptions!$C$30</f>
        <v/>
      </c>
      <c r="BJ26" s="40">
        <f>BJ25*Assumptions!$C$30</f>
        <v/>
      </c>
      <c r="BK26" s="40">
        <f>BK25*Assumptions!$C$30</f>
        <v/>
      </c>
      <c r="BL26" s="40">
        <f>BL25*Assumptions!$C$30</f>
        <v/>
      </c>
      <c r="BM26" s="40">
        <f>BM25*Assumptions!$C$30</f>
        <v/>
      </c>
      <c r="BN26" s="40">
        <f>BN25*Assumptions!$C$30</f>
        <v/>
      </c>
      <c r="BO26" s="40">
        <f>BO25*Assumptions!$C$30</f>
        <v/>
      </c>
      <c r="BP26" s="40">
        <f>BP25*Assumptions!$C$30</f>
        <v/>
      </c>
      <c r="BQ26" s="40">
        <f>BQ25*Assumptions!$C$30</f>
        <v/>
      </c>
      <c r="BR26" s="40">
        <f>BR25*Assumptions!$C$30</f>
        <v/>
      </c>
      <c r="BS26" s="40">
        <f>BS25*Assumptions!$C$30</f>
        <v/>
      </c>
      <c r="BT26" s="40">
        <f>BT25*Assumptions!$C$30</f>
        <v/>
      </c>
      <c r="BU26" s="40">
        <f>BU25*Assumptions!$C$30</f>
        <v/>
      </c>
      <c r="BV26" s="40">
        <f>BV25*Assumptions!$C$30</f>
        <v/>
      </c>
    </row>
    <row r="28">
      <c r="B28" s="41" t="inlineStr">
        <is>
          <t>MEMO — INSURANCE</t>
        </is>
      </c>
    </row>
    <row r="29">
      <c r="B29" s="38" t="inlineStr">
        <is>
          <t>Insured swings</t>
        </is>
      </c>
      <c r="C29" s="40">
        <f>C20*Assumptions!$C$28*Assumptions!$C$24</f>
        <v/>
      </c>
      <c r="D29" s="40">
        <f>D20*Assumptions!$C$28*Assumptions!$C$24</f>
        <v/>
      </c>
      <c r="E29" s="40">
        <f>E20*Assumptions!$C$28*Assumptions!$C$24</f>
        <v/>
      </c>
      <c r="F29" s="40">
        <f>F20*Assumptions!$C$28*Assumptions!$C$24</f>
        <v/>
      </c>
      <c r="G29" s="40">
        <f>G20*Assumptions!$C$28*Assumptions!$C$24</f>
        <v/>
      </c>
      <c r="H29" s="40">
        <f>H20*Assumptions!$C$28*Assumptions!$C$24</f>
        <v/>
      </c>
      <c r="I29" s="40">
        <f>I20*Assumptions!$C$28*Assumptions!$C$24</f>
        <v/>
      </c>
      <c r="J29" s="40">
        <f>J20*Assumptions!$C$28*Assumptions!$C$24</f>
        <v/>
      </c>
      <c r="K29" s="40">
        <f>K20*Assumptions!$C$28*Assumptions!$C$24</f>
        <v/>
      </c>
      <c r="L29" s="40">
        <f>L20*Assumptions!$C$28*Assumptions!$C$24</f>
        <v/>
      </c>
      <c r="M29" s="40">
        <f>M20*Assumptions!$C$28*Assumptions!$C$24</f>
        <v/>
      </c>
      <c r="N29" s="40">
        <f>N20*Assumptions!$C$28*Assumptions!$C$24</f>
        <v/>
      </c>
      <c r="O29" s="40">
        <f>O20*Assumptions!$C$28*Assumptions!$C$24</f>
        <v/>
      </c>
      <c r="P29" s="40">
        <f>P20*Assumptions!$C$28*Assumptions!$C$24</f>
        <v/>
      </c>
      <c r="Q29" s="40">
        <f>Q20*Assumptions!$C$28*Assumptions!$C$24</f>
        <v/>
      </c>
      <c r="R29" s="40">
        <f>R20*Assumptions!$C$28*Assumptions!$C$24</f>
        <v/>
      </c>
      <c r="S29" s="40">
        <f>S20*Assumptions!$C$28*Assumptions!$C$24</f>
        <v/>
      </c>
      <c r="T29" s="40">
        <f>T20*Assumptions!$C$28*Assumptions!$C$24</f>
        <v/>
      </c>
      <c r="U29" s="40">
        <f>U20*Assumptions!$C$28*Assumptions!$C$24</f>
        <v/>
      </c>
      <c r="V29" s="40">
        <f>V20*Assumptions!$C$28*Assumptions!$C$24</f>
        <v/>
      </c>
      <c r="W29" s="40">
        <f>W20*Assumptions!$C$28*Assumptions!$C$24</f>
        <v/>
      </c>
      <c r="X29" s="40">
        <f>X20*Assumptions!$C$28*Assumptions!$C$24</f>
        <v/>
      </c>
      <c r="Y29" s="40">
        <f>Y20*Assumptions!$C$28*Assumptions!$C$24</f>
        <v/>
      </c>
      <c r="Z29" s="40">
        <f>Z20*Assumptions!$C$28*Assumptions!$C$24</f>
        <v/>
      </c>
      <c r="AA29" s="40">
        <f>AA20*Assumptions!$C$28*Assumptions!$C$24</f>
        <v/>
      </c>
      <c r="AB29" s="40">
        <f>AB20*Assumptions!$C$28*Assumptions!$C$24</f>
        <v/>
      </c>
      <c r="AC29" s="40">
        <f>AC20*Assumptions!$C$28*Assumptions!$C$24</f>
        <v/>
      </c>
      <c r="AD29" s="40">
        <f>AD20*Assumptions!$C$28*Assumptions!$C$24</f>
        <v/>
      </c>
      <c r="AE29" s="40">
        <f>AE20*Assumptions!$C$28*Assumptions!$C$24</f>
        <v/>
      </c>
      <c r="AF29" s="40">
        <f>AF20*Assumptions!$C$28*Assumptions!$C$24</f>
        <v/>
      </c>
      <c r="AG29" s="40">
        <f>AG20*Assumptions!$C$28*Assumptions!$C$24</f>
        <v/>
      </c>
      <c r="AH29" s="40">
        <f>AH20*Assumptions!$C$28*Assumptions!$C$24</f>
        <v/>
      </c>
      <c r="AI29" s="40">
        <f>AI20*Assumptions!$C$28*Assumptions!$C$24</f>
        <v/>
      </c>
      <c r="AJ29" s="40">
        <f>AJ20*Assumptions!$C$28*Assumptions!$C$24</f>
        <v/>
      </c>
      <c r="AK29" s="40">
        <f>AK20*Assumptions!$C$28*Assumptions!$C$24</f>
        <v/>
      </c>
      <c r="AL29" s="40">
        <f>AL20*Assumptions!$C$28*Assumptions!$C$24</f>
        <v/>
      </c>
      <c r="AM29" s="40">
        <f>AM20*Assumptions!$C$28*Assumptions!$C$24</f>
        <v/>
      </c>
      <c r="AN29" s="40">
        <f>AN20*Assumptions!$C$28*Assumptions!$C$24</f>
        <v/>
      </c>
      <c r="AO29" s="40">
        <f>AO20*Assumptions!$C$28*Assumptions!$C$24</f>
        <v/>
      </c>
      <c r="AP29" s="40">
        <f>AP20*Assumptions!$C$28*Assumptions!$C$24</f>
        <v/>
      </c>
      <c r="AQ29" s="40">
        <f>AQ20*Assumptions!$C$28*Assumptions!$C$24</f>
        <v/>
      </c>
      <c r="AR29" s="40">
        <f>AR20*Assumptions!$C$28*Assumptions!$C$24</f>
        <v/>
      </c>
      <c r="AS29" s="40">
        <f>AS20*Assumptions!$C$28*Assumptions!$C$24</f>
        <v/>
      </c>
      <c r="AT29" s="40">
        <f>AT20*Assumptions!$C$28*Assumptions!$C$24</f>
        <v/>
      </c>
      <c r="AU29" s="40">
        <f>AU20*Assumptions!$C$28*Assumptions!$C$24</f>
        <v/>
      </c>
      <c r="AV29" s="40">
        <f>AV20*Assumptions!$C$28*Assumptions!$C$24</f>
        <v/>
      </c>
      <c r="AW29" s="40">
        <f>AW20*Assumptions!$C$28*Assumptions!$C$24</f>
        <v/>
      </c>
      <c r="AX29" s="40">
        <f>AX20*Assumptions!$C$28*Assumptions!$C$24</f>
        <v/>
      </c>
      <c r="AY29" s="40">
        <f>AY20*Assumptions!$C$28*Assumptions!$C$24</f>
        <v/>
      </c>
      <c r="AZ29" s="40">
        <f>AZ20*Assumptions!$C$28*Assumptions!$C$24</f>
        <v/>
      </c>
      <c r="BA29" s="40">
        <f>BA20*Assumptions!$C$28*Assumptions!$C$24</f>
        <v/>
      </c>
      <c r="BB29" s="40">
        <f>BB20*Assumptions!$C$28*Assumptions!$C$24</f>
        <v/>
      </c>
      <c r="BC29" s="40">
        <f>BC20*Assumptions!$C$28*Assumptions!$C$24</f>
        <v/>
      </c>
      <c r="BD29" s="40">
        <f>BD20*Assumptions!$C$28*Assumptions!$C$24</f>
        <v/>
      </c>
      <c r="BE29" s="40">
        <f>BE20*Assumptions!$C$28*Assumptions!$C$24</f>
        <v/>
      </c>
      <c r="BF29" s="40">
        <f>BF20*Assumptions!$C$28*Assumptions!$C$24</f>
        <v/>
      </c>
      <c r="BG29" s="40">
        <f>BG20*Assumptions!$C$28*Assumptions!$C$24</f>
        <v/>
      </c>
      <c r="BH29" s="40">
        <f>BH20*Assumptions!$C$28*Assumptions!$C$24</f>
        <v/>
      </c>
      <c r="BI29" s="40">
        <f>BI20*Assumptions!$C$28*Assumptions!$C$24</f>
        <v/>
      </c>
      <c r="BJ29" s="40">
        <f>BJ20*Assumptions!$C$28*Assumptions!$C$24</f>
        <v/>
      </c>
      <c r="BK29" s="40">
        <f>BK20*Assumptions!$C$28*Assumptions!$C$24</f>
        <v/>
      </c>
      <c r="BL29" s="40">
        <f>BL20*Assumptions!$C$28*Assumptions!$C$24</f>
        <v/>
      </c>
      <c r="BM29" s="40">
        <f>BM20*Assumptions!$C$28*Assumptions!$C$24</f>
        <v/>
      </c>
      <c r="BN29" s="40">
        <f>BN20*Assumptions!$C$28*Assumptions!$C$24</f>
        <v/>
      </c>
      <c r="BO29" s="40">
        <f>BO20*Assumptions!$C$28*Assumptions!$C$24</f>
        <v/>
      </c>
      <c r="BP29" s="40">
        <f>BP20*Assumptions!$C$28*Assumptions!$C$24</f>
        <v/>
      </c>
      <c r="BQ29" s="40">
        <f>BQ20*Assumptions!$C$28*Assumptions!$C$24</f>
        <v/>
      </c>
      <c r="BR29" s="40">
        <f>BR20*Assumptions!$C$28*Assumptions!$C$24</f>
        <v/>
      </c>
      <c r="BS29" s="40">
        <f>BS20*Assumptions!$C$28*Assumptions!$C$24</f>
        <v/>
      </c>
      <c r="BT29" s="40">
        <f>BT20*Assumptions!$C$28*Assumptions!$C$24</f>
        <v/>
      </c>
      <c r="BU29" s="40">
        <f>BU20*Assumptions!$C$28*Assumptions!$C$24</f>
        <v/>
      </c>
      <c r="BV29" s="40">
        <f>BV20*Assumptions!$C$28*Assumptions!$C$24</f>
        <v/>
      </c>
    </row>
    <row r="30">
      <c r="B30" s="38" t="inlineStr">
        <is>
          <t>Premium ceded ($)</t>
        </is>
      </c>
      <c r="C30" s="40">
        <f>C25*Assumptions!$C$31</f>
        <v/>
      </c>
      <c r="D30" s="40">
        <f>D25*Assumptions!$C$31</f>
        <v/>
      </c>
      <c r="E30" s="40">
        <f>E25*Assumptions!$C$31</f>
        <v/>
      </c>
      <c r="F30" s="40">
        <f>F25*Assumptions!$C$31</f>
        <v/>
      </c>
      <c r="G30" s="40">
        <f>G25*Assumptions!$C$31</f>
        <v/>
      </c>
      <c r="H30" s="40">
        <f>H25*Assumptions!$C$31</f>
        <v/>
      </c>
      <c r="I30" s="40">
        <f>I25*Assumptions!$C$31</f>
        <v/>
      </c>
      <c r="J30" s="40">
        <f>J25*Assumptions!$C$31</f>
        <v/>
      </c>
      <c r="K30" s="40">
        <f>K25*Assumptions!$C$31</f>
        <v/>
      </c>
      <c r="L30" s="40">
        <f>L25*Assumptions!$C$31</f>
        <v/>
      </c>
      <c r="M30" s="40">
        <f>M25*Assumptions!$C$31</f>
        <v/>
      </c>
      <c r="N30" s="40">
        <f>N25*Assumptions!$C$31</f>
        <v/>
      </c>
      <c r="O30" s="40">
        <f>O25*Assumptions!$C$31</f>
        <v/>
      </c>
      <c r="P30" s="40">
        <f>P25*Assumptions!$C$31</f>
        <v/>
      </c>
      <c r="Q30" s="40">
        <f>Q25*Assumptions!$C$31</f>
        <v/>
      </c>
      <c r="R30" s="40">
        <f>R25*Assumptions!$C$31</f>
        <v/>
      </c>
      <c r="S30" s="40">
        <f>S25*Assumptions!$C$31</f>
        <v/>
      </c>
      <c r="T30" s="40">
        <f>T25*Assumptions!$C$31</f>
        <v/>
      </c>
      <c r="U30" s="40">
        <f>U25*Assumptions!$C$31</f>
        <v/>
      </c>
      <c r="V30" s="40">
        <f>V25*Assumptions!$C$31</f>
        <v/>
      </c>
      <c r="W30" s="40">
        <f>W25*Assumptions!$C$31</f>
        <v/>
      </c>
      <c r="X30" s="40">
        <f>X25*Assumptions!$C$31</f>
        <v/>
      </c>
      <c r="Y30" s="40">
        <f>Y25*Assumptions!$C$31</f>
        <v/>
      </c>
      <c r="Z30" s="40">
        <f>Z25*Assumptions!$C$31</f>
        <v/>
      </c>
      <c r="AA30" s="40">
        <f>AA25*Assumptions!$C$31</f>
        <v/>
      </c>
      <c r="AB30" s="40">
        <f>AB25*Assumptions!$C$31</f>
        <v/>
      </c>
      <c r="AC30" s="40">
        <f>AC25*Assumptions!$C$31</f>
        <v/>
      </c>
      <c r="AD30" s="40">
        <f>AD25*Assumptions!$C$31</f>
        <v/>
      </c>
      <c r="AE30" s="40">
        <f>AE25*Assumptions!$C$31</f>
        <v/>
      </c>
      <c r="AF30" s="40">
        <f>AF25*Assumptions!$C$31</f>
        <v/>
      </c>
      <c r="AG30" s="40">
        <f>AG25*Assumptions!$C$31</f>
        <v/>
      </c>
      <c r="AH30" s="40">
        <f>AH25*Assumptions!$C$31</f>
        <v/>
      </c>
      <c r="AI30" s="40">
        <f>AI25*Assumptions!$C$31</f>
        <v/>
      </c>
      <c r="AJ30" s="40">
        <f>AJ25*Assumptions!$C$31</f>
        <v/>
      </c>
      <c r="AK30" s="40">
        <f>AK25*Assumptions!$C$31</f>
        <v/>
      </c>
      <c r="AL30" s="40">
        <f>AL25*Assumptions!$C$31</f>
        <v/>
      </c>
      <c r="AM30" s="40">
        <f>AM25*Assumptions!$C$31</f>
        <v/>
      </c>
      <c r="AN30" s="40">
        <f>AN25*Assumptions!$C$31</f>
        <v/>
      </c>
      <c r="AO30" s="40">
        <f>AO25*Assumptions!$C$31</f>
        <v/>
      </c>
      <c r="AP30" s="40">
        <f>AP25*Assumptions!$C$31</f>
        <v/>
      </c>
      <c r="AQ30" s="40">
        <f>AQ25*Assumptions!$C$31</f>
        <v/>
      </c>
      <c r="AR30" s="40">
        <f>AR25*Assumptions!$C$31</f>
        <v/>
      </c>
      <c r="AS30" s="40">
        <f>AS25*Assumptions!$C$31</f>
        <v/>
      </c>
      <c r="AT30" s="40">
        <f>AT25*Assumptions!$C$31</f>
        <v/>
      </c>
      <c r="AU30" s="40">
        <f>AU25*Assumptions!$C$31</f>
        <v/>
      </c>
      <c r="AV30" s="40">
        <f>AV25*Assumptions!$C$31</f>
        <v/>
      </c>
      <c r="AW30" s="40">
        <f>AW25*Assumptions!$C$31</f>
        <v/>
      </c>
      <c r="AX30" s="40">
        <f>AX25*Assumptions!$C$31</f>
        <v/>
      </c>
      <c r="AY30" s="40">
        <f>AY25*Assumptions!$C$31</f>
        <v/>
      </c>
      <c r="AZ30" s="40">
        <f>AZ25*Assumptions!$C$31</f>
        <v/>
      </c>
      <c r="BA30" s="40">
        <f>BA25*Assumptions!$C$31</f>
        <v/>
      </c>
      <c r="BB30" s="40">
        <f>BB25*Assumptions!$C$31</f>
        <v/>
      </c>
      <c r="BC30" s="40">
        <f>BC25*Assumptions!$C$31</f>
        <v/>
      </c>
      <c r="BD30" s="40">
        <f>BD25*Assumptions!$C$31</f>
        <v/>
      </c>
      <c r="BE30" s="40">
        <f>BE25*Assumptions!$C$31</f>
        <v/>
      </c>
      <c r="BF30" s="40">
        <f>BF25*Assumptions!$C$31</f>
        <v/>
      </c>
      <c r="BG30" s="40">
        <f>BG25*Assumptions!$C$31</f>
        <v/>
      </c>
      <c r="BH30" s="40">
        <f>BH25*Assumptions!$C$31</f>
        <v/>
      </c>
      <c r="BI30" s="40">
        <f>BI25*Assumptions!$C$31</f>
        <v/>
      </c>
      <c r="BJ30" s="40">
        <f>BJ25*Assumptions!$C$31</f>
        <v/>
      </c>
      <c r="BK30" s="40">
        <f>BK25*Assumptions!$C$31</f>
        <v/>
      </c>
      <c r="BL30" s="40">
        <f>BL25*Assumptions!$C$31</f>
        <v/>
      </c>
      <c r="BM30" s="40">
        <f>BM25*Assumptions!$C$31</f>
        <v/>
      </c>
      <c r="BN30" s="40">
        <f>BN25*Assumptions!$C$31</f>
        <v/>
      </c>
      <c r="BO30" s="40">
        <f>BO25*Assumptions!$C$31</f>
        <v/>
      </c>
      <c r="BP30" s="40">
        <f>BP25*Assumptions!$C$31</f>
        <v/>
      </c>
      <c r="BQ30" s="40">
        <f>BQ25*Assumptions!$C$31</f>
        <v/>
      </c>
      <c r="BR30" s="40">
        <f>BR25*Assumptions!$C$31</f>
        <v/>
      </c>
      <c r="BS30" s="40">
        <f>BS25*Assumptions!$C$31</f>
        <v/>
      </c>
      <c r="BT30" s="40">
        <f>BT25*Assumptions!$C$31</f>
        <v/>
      </c>
      <c r="BU30" s="40">
        <f>BU25*Assumptions!$C$31</f>
        <v/>
      </c>
      <c r="BV30" s="40">
        <f>BV25*Assumptions!$C$31</f>
        <v/>
      </c>
    </row>
    <row r="31">
      <c r="B31" s="38" t="inlineStr">
        <is>
          <t>Expected claims ($)</t>
        </is>
      </c>
      <c r="C31" s="40">
        <f>C30*Assumptions!$C$32</f>
        <v/>
      </c>
      <c r="D31" s="40">
        <f>D30*Assumptions!$C$32</f>
        <v/>
      </c>
      <c r="E31" s="40">
        <f>E30*Assumptions!$C$32</f>
        <v/>
      </c>
      <c r="F31" s="40">
        <f>F30*Assumptions!$C$32</f>
        <v/>
      </c>
      <c r="G31" s="40">
        <f>G30*Assumptions!$C$32</f>
        <v/>
      </c>
      <c r="H31" s="40">
        <f>H30*Assumptions!$C$32</f>
        <v/>
      </c>
      <c r="I31" s="40">
        <f>I30*Assumptions!$C$32</f>
        <v/>
      </c>
      <c r="J31" s="40">
        <f>J30*Assumptions!$C$32</f>
        <v/>
      </c>
      <c r="K31" s="40">
        <f>K30*Assumptions!$C$32</f>
        <v/>
      </c>
      <c r="L31" s="40">
        <f>L30*Assumptions!$C$32</f>
        <v/>
      </c>
      <c r="M31" s="40">
        <f>M30*Assumptions!$C$32</f>
        <v/>
      </c>
      <c r="N31" s="40">
        <f>N30*Assumptions!$C$32</f>
        <v/>
      </c>
      <c r="O31" s="40">
        <f>O30*Assumptions!$C$32</f>
        <v/>
      </c>
      <c r="P31" s="40">
        <f>P30*Assumptions!$C$32</f>
        <v/>
      </c>
      <c r="Q31" s="40">
        <f>Q30*Assumptions!$C$32</f>
        <v/>
      </c>
      <c r="R31" s="40">
        <f>R30*Assumptions!$C$32</f>
        <v/>
      </c>
      <c r="S31" s="40">
        <f>S30*Assumptions!$C$32</f>
        <v/>
      </c>
      <c r="T31" s="40">
        <f>T30*Assumptions!$C$32</f>
        <v/>
      </c>
      <c r="U31" s="40">
        <f>U30*Assumptions!$C$32</f>
        <v/>
      </c>
      <c r="V31" s="40">
        <f>V30*Assumptions!$C$32</f>
        <v/>
      </c>
      <c r="W31" s="40">
        <f>W30*Assumptions!$C$32</f>
        <v/>
      </c>
      <c r="X31" s="40">
        <f>X30*Assumptions!$C$32</f>
        <v/>
      </c>
      <c r="Y31" s="40">
        <f>Y30*Assumptions!$C$32</f>
        <v/>
      </c>
      <c r="Z31" s="40">
        <f>Z30*Assumptions!$C$32</f>
        <v/>
      </c>
      <c r="AA31" s="40">
        <f>AA30*Assumptions!$C$32</f>
        <v/>
      </c>
      <c r="AB31" s="40">
        <f>AB30*Assumptions!$C$32</f>
        <v/>
      </c>
      <c r="AC31" s="40">
        <f>AC30*Assumptions!$C$32</f>
        <v/>
      </c>
      <c r="AD31" s="40">
        <f>AD30*Assumptions!$C$32</f>
        <v/>
      </c>
      <c r="AE31" s="40">
        <f>AE30*Assumptions!$C$32</f>
        <v/>
      </c>
      <c r="AF31" s="40">
        <f>AF30*Assumptions!$C$32</f>
        <v/>
      </c>
      <c r="AG31" s="40">
        <f>AG30*Assumptions!$C$32</f>
        <v/>
      </c>
      <c r="AH31" s="40">
        <f>AH30*Assumptions!$C$32</f>
        <v/>
      </c>
      <c r="AI31" s="40">
        <f>AI30*Assumptions!$C$32</f>
        <v/>
      </c>
      <c r="AJ31" s="40">
        <f>AJ30*Assumptions!$C$32</f>
        <v/>
      </c>
      <c r="AK31" s="40">
        <f>AK30*Assumptions!$C$32</f>
        <v/>
      </c>
      <c r="AL31" s="40">
        <f>AL30*Assumptions!$C$32</f>
        <v/>
      </c>
      <c r="AM31" s="40">
        <f>AM30*Assumptions!$C$32</f>
        <v/>
      </c>
      <c r="AN31" s="40">
        <f>AN30*Assumptions!$C$32</f>
        <v/>
      </c>
      <c r="AO31" s="40">
        <f>AO30*Assumptions!$C$32</f>
        <v/>
      </c>
      <c r="AP31" s="40">
        <f>AP30*Assumptions!$C$32</f>
        <v/>
      </c>
      <c r="AQ31" s="40">
        <f>AQ30*Assumptions!$C$32</f>
        <v/>
      </c>
      <c r="AR31" s="40">
        <f>AR30*Assumptions!$C$32</f>
        <v/>
      </c>
      <c r="AS31" s="40">
        <f>AS30*Assumptions!$C$32</f>
        <v/>
      </c>
      <c r="AT31" s="40">
        <f>AT30*Assumptions!$C$32</f>
        <v/>
      </c>
      <c r="AU31" s="40">
        <f>AU30*Assumptions!$C$32</f>
        <v/>
      </c>
      <c r="AV31" s="40">
        <f>AV30*Assumptions!$C$32</f>
        <v/>
      </c>
      <c r="AW31" s="40">
        <f>AW30*Assumptions!$C$32</f>
        <v/>
      </c>
      <c r="AX31" s="40">
        <f>AX30*Assumptions!$C$32</f>
        <v/>
      </c>
      <c r="AY31" s="40">
        <f>AY30*Assumptions!$C$32</f>
        <v/>
      </c>
      <c r="AZ31" s="40">
        <f>AZ30*Assumptions!$C$32</f>
        <v/>
      </c>
      <c r="BA31" s="40">
        <f>BA30*Assumptions!$C$32</f>
        <v/>
      </c>
      <c r="BB31" s="40">
        <f>BB30*Assumptions!$C$32</f>
        <v/>
      </c>
      <c r="BC31" s="40">
        <f>BC30*Assumptions!$C$32</f>
        <v/>
      </c>
      <c r="BD31" s="40">
        <f>BD30*Assumptions!$C$32</f>
        <v/>
      </c>
      <c r="BE31" s="40">
        <f>BE30*Assumptions!$C$32</f>
        <v/>
      </c>
      <c r="BF31" s="40">
        <f>BF30*Assumptions!$C$32</f>
        <v/>
      </c>
      <c r="BG31" s="40">
        <f>BG30*Assumptions!$C$32</f>
        <v/>
      </c>
      <c r="BH31" s="40">
        <f>BH30*Assumptions!$C$32</f>
        <v/>
      </c>
      <c r="BI31" s="40">
        <f>BI30*Assumptions!$C$32</f>
        <v/>
      </c>
      <c r="BJ31" s="40">
        <f>BJ30*Assumptions!$C$32</f>
        <v/>
      </c>
      <c r="BK31" s="40">
        <f>BK30*Assumptions!$C$32</f>
        <v/>
      </c>
      <c r="BL31" s="40">
        <f>BL30*Assumptions!$C$32</f>
        <v/>
      </c>
      <c r="BM31" s="40">
        <f>BM30*Assumptions!$C$32</f>
        <v/>
      </c>
      <c r="BN31" s="40">
        <f>BN30*Assumptions!$C$32</f>
        <v/>
      </c>
      <c r="BO31" s="40">
        <f>BO30*Assumptions!$C$32</f>
        <v/>
      </c>
      <c r="BP31" s="40">
        <f>BP30*Assumptions!$C$32</f>
        <v/>
      </c>
      <c r="BQ31" s="40">
        <f>BQ30*Assumptions!$C$32</f>
        <v/>
      </c>
      <c r="BR31" s="40">
        <f>BR30*Assumptions!$C$32</f>
        <v/>
      </c>
      <c r="BS31" s="40">
        <f>BS30*Assumptions!$C$32</f>
        <v/>
      </c>
      <c r="BT31" s="40">
        <f>BT30*Assumptions!$C$32</f>
        <v/>
      </c>
      <c r="BU31" s="40">
        <f>BU30*Assumptions!$C$32</f>
        <v/>
      </c>
      <c r="BV31" s="40">
        <f>BV30*Assumptions!$C$32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45230"/>
    <outlinePr summaryBelow="1" summaryRight="1"/>
    <pageSetUpPr/>
  </sheetPr>
  <dimension ref="B2:H38"/>
  <sheetViews>
    <sheetView showGridLines="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2">
      <c r="B2" s="27" t="inlineStr">
        <is>
          <t>ANNUAL ROLL-UP (ZAR)</t>
        </is>
      </c>
    </row>
    <row r="3">
      <c r="B3" s="11" t="inlineStr">
        <is>
          <t>Calendar-year totals from the monthly build. Streams are net of third-party shares so the rows add; the memo lines show the insurer's view (gross entries, premium ceded, expected claims).</t>
        </is>
      </c>
    </row>
    <row r="5">
      <c r="B5" s="42" t="n"/>
      <c r="C5" s="43" t="n">
        <v>2027</v>
      </c>
      <c r="D5" s="43" t="n">
        <v>2028</v>
      </c>
      <c r="E5" s="43" t="n">
        <v>2029</v>
      </c>
      <c r="F5" s="43" t="n">
        <v>2030</v>
      </c>
      <c r="G5" s="43" t="n">
        <v>2031</v>
      </c>
      <c r="H5" s="43" t="n">
        <v>2032</v>
      </c>
    </row>
    <row r="6">
      <c r="B6" s="6" t="inlineStr">
        <is>
          <t>Subscribers (closing)</t>
        </is>
      </c>
      <c r="C6" s="44">
        <f>'Build (Monthly)'!N15</f>
        <v/>
      </c>
      <c r="D6" s="44">
        <f>'Build (Monthly)'!Z15</f>
        <v/>
      </c>
      <c r="E6" s="44">
        <f>'Build (Monthly)'!AL15</f>
        <v/>
      </c>
      <c r="F6" s="44">
        <f>'Build (Monthly)'!AX15</f>
        <v/>
      </c>
      <c r="G6" s="44">
        <f>'Build (Monthly)'!BJ15</f>
        <v/>
      </c>
      <c r="H6" s="44">
        <f>'Build (Monthly)'!BV15</f>
        <v/>
      </c>
    </row>
    <row r="7">
      <c r="B7" s="6" t="inlineStr">
        <is>
          <t>Active players (closing)</t>
        </is>
      </c>
      <c r="C7" s="44">
        <f>C6*Assumptions!$C$22</f>
        <v/>
      </c>
      <c r="D7" s="44">
        <f>D6*Assumptions!$C$22</f>
        <v/>
      </c>
      <c r="E7" s="44">
        <f>E6*Assumptions!$C$22</f>
        <v/>
      </c>
      <c r="F7" s="44">
        <f>F6*Assumptions!$C$22</f>
        <v/>
      </c>
      <c r="G7" s="44">
        <f>G6*Assumptions!$C$22</f>
        <v/>
      </c>
      <c r="H7" s="44">
        <f>H6*Assumptions!$C$22</f>
        <v/>
      </c>
    </row>
    <row r="8">
      <c r="B8" s="6" t="inlineStr">
        <is>
          <t>Money slips</t>
        </is>
      </c>
      <c r="C8" s="44">
        <f>SUMIF('Build (Monthly)'!$C$6:$BV$6,C$5,'Build (Monthly)'!$C$20:$BV$20)</f>
        <v/>
      </c>
      <c r="D8" s="44">
        <f>SUMIF('Build (Monthly)'!$C$6:$BV$6,D$5,'Build (Monthly)'!$C$20:$BV$20)</f>
        <v/>
      </c>
      <c r="E8" s="44">
        <f>SUMIF('Build (Monthly)'!$C$6:$BV$6,E$5,'Build (Monthly)'!$C$20:$BV$20)</f>
        <v/>
      </c>
      <c r="F8" s="44">
        <f>SUMIF('Build (Monthly)'!$C$6:$BV$6,F$5,'Build (Monthly)'!$C$20:$BV$20)</f>
        <v/>
      </c>
      <c r="G8" s="44">
        <f>SUMIF('Build (Monthly)'!$C$6:$BV$6,G$5,'Build (Monthly)'!$C$20:$BV$20)</f>
        <v/>
      </c>
      <c r="H8" s="44">
        <f>SUMIF('Build (Monthly)'!$C$6:$BV$6,H$5,'Build (Monthly)'!$C$20:$BV$20)</f>
        <v/>
      </c>
    </row>
    <row r="9">
      <c r="B9" s="6" t="inlineStr">
        <is>
          <t>Peer GMV ($) — revenue ZERO</t>
        </is>
      </c>
      <c r="C9" s="70">
        <f>SUMIF('Build (Monthly)'!$C$6:$BV$6,C$5,'Build (Monthly)'!$C$21:$BV$21)</f>
        <v/>
      </c>
      <c r="D9" s="70">
        <f>SUMIF('Build (Monthly)'!$C$6:$BV$6,D$5,'Build (Monthly)'!$C$21:$BV$21)</f>
        <v/>
      </c>
      <c r="E9" s="70">
        <f>SUMIF('Build (Monthly)'!$C$6:$BV$6,E$5,'Build (Monthly)'!$C$21:$BV$21)</f>
        <v/>
      </c>
      <c r="F9" s="70">
        <f>SUMIF('Build (Monthly)'!$C$6:$BV$6,F$5,'Build (Monthly)'!$C$21:$BV$21)</f>
        <v/>
      </c>
      <c r="G9" s="70">
        <f>SUMIF('Build (Monthly)'!$C$6:$BV$6,G$5,'Build (Monthly)'!$C$21:$BV$21)</f>
        <v/>
      </c>
      <c r="H9" s="70">
        <f>SUMIF('Build (Monthly)'!$C$6:$BV$6,H$5,'Build (Monthly)'!$C$21:$BV$21)</f>
        <v/>
      </c>
    </row>
    <row r="11">
      <c r="B11" s="16" t="inlineStr">
        <is>
          <t>REVENUE</t>
        </is>
      </c>
    </row>
    <row r="12">
      <c r="B12" s="6" t="inlineStr">
        <is>
          <t>Subscriptions</t>
        </is>
      </c>
      <c r="C12" s="71">
        <f>SUMIF('Build (Monthly)'!$C$6:$BV$6,C$5,'Build (Monthly)'!$C$24:$BV$24)*Assumptions!$C$6</f>
        <v/>
      </c>
      <c r="D12" s="71">
        <f>SUMIF('Build (Monthly)'!$C$6:$BV$6,D$5,'Build (Monthly)'!$C$24:$BV$24)*Assumptions!$C$6</f>
        <v/>
      </c>
      <c r="E12" s="71">
        <f>SUMIF('Build (Monthly)'!$C$6:$BV$6,E$5,'Build (Monthly)'!$C$24:$BV$24)*Assumptions!$C$6</f>
        <v/>
      </c>
      <c r="F12" s="71">
        <f>SUMIF('Build (Monthly)'!$C$6:$BV$6,F$5,'Build (Monthly)'!$C$24:$BV$24)*Assumptions!$C$6</f>
        <v/>
      </c>
      <c r="G12" s="71">
        <f>SUMIF('Build (Monthly)'!$C$6:$BV$6,G$5,'Build (Monthly)'!$C$24:$BV$24)*Assumptions!$C$6</f>
        <v/>
      </c>
      <c r="H12" s="71">
        <f>SUMIF('Build (Monthly)'!$C$6:$BV$6,H$5,'Build (Monthly)'!$C$24:$BV$24)*Assumptions!$C$6</f>
        <v/>
      </c>
    </row>
    <row r="13">
      <c r="B13" s="6" t="inlineStr">
        <is>
          <t>Insured jackpot (net)</t>
        </is>
      </c>
      <c r="C13" s="71">
        <f>SUMIF('Build (Monthly)'!$C$6:$BV$6,C$5,'Build (Monthly)'!$C$26:$BV$26)*Assumptions!$C$6</f>
        <v/>
      </c>
      <c r="D13" s="71">
        <f>SUMIF('Build (Monthly)'!$C$6:$BV$6,D$5,'Build (Monthly)'!$C$26:$BV$26)*Assumptions!$C$6</f>
        <v/>
      </c>
      <c r="E13" s="71">
        <f>SUMIF('Build (Monthly)'!$C$6:$BV$6,E$5,'Build (Monthly)'!$C$26:$BV$26)*Assumptions!$C$6</f>
        <v/>
      </c>
      <c r="F13" s="71">
        <f>SUMIF('Build (Monthly)'!$C$6:$BV$6,F$5,'Build (Monthly)'!$C$26:$BV$26)*Assumptions!$C$6</f>
        <v/>
      </c>
      <c r="G13" s="71">
        <f>SUMIF('Build (Monthly)'!$C$6:$BV$6,G$5,'Build (Monthly)'!$C$26:$BV$26)*Assumptions!$C$6</f>
        <v/>
      </c>
      <c r="H13" s="71">
        <f>SUMIF('Build (Monthly)'!$C$6:$BV$6,H$5,'Build (Monthly)'!$C$26:$BV$26)*Assumptions!$C$6</f>
        <v/>
      </c>
    </row>
    <row r="14">
      <c r="B14" s="6" t="inlineStr">
        <is>
          <t>Installed courses (net 66%)</t>
        </is>
      </c>
      <c r="C14" s="71">
        <f>37.5*Assumptions!$C$37*Assumptions!$C$38*Assumptions!$C$39</f>
        <v/>
      </c>
      <c r="D14" s="71">
        <f>62.5*Assumptions!$C$37*Assumptions!$C$38*Assumptions!$C$39</f>
        <v/>
      </c>
      <c r="E14" s="71">
        <f>87.5*Assumptions!$C$37*Assumptions!$C$38*Assumptions!$C$39</f>
        <v/>
      </c>
      <c r="F14" s="71">
        <f>112.5*Assumptions!$C$37*Assumptions!$C$38*Assumptions!$C$39</f>
        <v/>
      </c>
      <c r="G14" s="71">
        <f>137.5*Assumptions!$C$37*Assumptions!$C$38*Assumptions!$C$39</f>
        <v/>
      </c>
      <c r="H14" s="71">
        <f>162.5*Assumptions!$C$37*Assumptions!$C$38*Assumptions!$C$39</f>
        <v/>
      </c>
    </row>
    <row r="15">
      <c r="B15" s="6" t="inlineStr">
        <is>
          <t>Simulators</t>
        </is>
      </c>
      <c r="C15" s="71" t="n">
        <v>2399820</v>
      </c>
      <c r="D15" s="71" t="n">
        <v>6399520</v>
      </c>
      <c r="E15" s="71" t="n">
        <v>11999100</v>
      </c>
      <c r="F15" s="71" t="n">
        <v>16663000</v>
      </c>
      <c r="G15" s="71" t="n">
        <v>23142000</v>
      </c>
      <c r="H15" s="71" t="n">
        <v>31997600</v>
      </c>
    </row>
    <row r="16">
      <c r="B16" s="6" t="inlineStr">
        <is>
          <t>Sponsorship</t>
        </is>
      </c>
      <c r="C16" s="71" t="n">
        <v>3000000</v>
      </c>
      <c r="D16" s="71" t="n">
        <v>3500000</v>
      </c>
      <c r="E16" s="71" t="n">
        <v>5500000</v>
      </c>
      <c r="F16" s="71" t="n">
        <v>8500000</v>
      </c>
      <c r="G16" s="71" t="n">
        <v>10500000</v>
      </c>
      <c r="H16" s="71" t="n">
        <v>12500000</v>
      </c>
    </row>
    <row r="17">
      <c r="B17" s="47" t="inlineStr">
        <is>
          <t>TOTAL REVENUE</t>
        </is>
      </c>
      <c r="C17" s="72">
        <f>SUM(C12:C16)</f>
        <v/>
      </c>
      <c r="D17" s="72">
        <f>SUM(D12:D16)</f>
        <v/>
      </c>
      <c r="E17" s="72">
        <f>SUM(E12:E16)</f>
        <v/>
      </c>
      <c r="F17" s="72">
        <f>SUM(F12:F16)</f>
        <v/>
      </c>
      <c r="G17" s="72">
        <f>SUM(G12:G16)</f>
        <v/>
      </c>
      <c r="H17" s="72">
        <f>SUM(H12:H16)</f>
        <v/>
      </c>
    </row>
    <row r="19">
      <c r="B19" s="16" t="inlineStr">
        <is>
          <t>COSTS</t>
        </is>
      </c>
    </row>
    <row r="20">
      <c r="B20" s="6" t="inlineStr">
        <is>
          <t>Payment processing</t>
        </is>
      </c>
      <c r="C20" s="71">
        <f>((SUMIF('Build (Monthly)'!$C$6:$BV$6,C$5,'Build (Monthly)'!$C$24:$BV$24)+SUMIF('Build (Monthly)'!$C$6:$BV$6,C$5,'Build (Monthly)'!$C$25:$BV$25))*Assumptions!$C$6+37.5*Assumptions!$C$37*Assumptions!$C$38)*Assumptions!$C$42</f>
        <v/>
      </c>
      <c r="D20" s="71">
        <f>((SUMIF('Build (Monthly)'!$C$6:$BV$6,D$5,'Build (Monthly)'!$C$24:$BV$24)+SUMIF('Build (Monthly)'!$C$6:$BV$6,D$5,'Build (Monthly)'!$C$25:$BV$25))*Assumptions!$C$6+62.5*Assumptions!$C$37*Assumptions!$C$38)*Assumptions!$C$42</f>
        <v/>
      </c>
      <c r="E20" s="71">
        <f>((SUMIF('Build (Monthly)'!$C$6:$BV$6,E$5,'Build (Monthly)'!$C$24:$BV$24)+SUMIF('Build (Monthly)'!$C$6:$BV$6,E$5,'Build (Monthly)'!$C$25:$BV$25))*Assumptions!$C$6+87.5*Assumptions!$C$37*Assumptions!$C$38)*Assumptions!$C$42</f>
        <v/>
      </c>
      <c r="F20" s="71">
        <f>((SUMIF('Build (Monthly)'!$C$6:$BV$6,F$5,'Build (Monthly)'!$C$24:$BV$24)+SUMIF('Build (Monthly)'!$C$6:$BV$6,F$5,'Build (Monthly)'!$C$25:$BV$25))*Assumptions!$C$6+112.5*Assumptions!$C$37*Assumptions!$C$38)*Assumptions!$C$42</f>
        <v/>
      </c>
      <c r="G20" s="71">
        <f>((SUMIF('Build (Monthly)'!$C$6:$BV$6,G$5,'Build (Monthly)'!$C$24:$BV$24)+SUMIF('Build (Monthly)'!$C$6:$BV$6,G$5,'Build (Monthly)'!$C$25:$BV$25))*Assumptions!$C$6+137.5*Assumptions!$C$37*Assumptions!$C$38)*Assumptions!$C$42</f>
        <v/>
      </c>
      <c r="H20" s="71">
        <f>((SUMIF('Build (Monthly)'!$C$6:$BV$6,H$5,'Build (Monthly)'!$C$24:$BV$24)+SUMIF('Build (Monthly)'!$C$6:$BV$6,H$5,'Build (Monthly)'!$C$25:$BV$25))*Assumptions!$C$6+162.5*Assumptions!$C$37*Assumptions!$C$38)*Assumptions!$C$42</f>
        <v/>
      </c>
    </row>
    <row r="21">
      <c r="B21" s="6" t="inlineStr">
        <is>
          <t>Verification &amp; claims (insured swings only)</t>
        </is>
      </c>
      <c r="C21" s="71">
        <f>(SUMIF('Build (Monthly)'!$C$6:$BV$6,C$5,'Build (Monthly)'!$C$29:$BV$29)+37.5*Assumptions!$C$37)*Assumptions!$C$43*Assumptions!$C$6</f>
        <v/>
      </c>
      <c r="D21" s="71">
        <f>(SUMIF('Build (Monthly)'!$C$6:$BV$6,D$5,'Build (Monthly)'!$C$29:$BV$29)+62.5*Assumptions!$C$37)*Assumptions!$C$43*Assumptions!$C$6</f>
        <v/>
      </c>
      <c r="E21" s="71">
        <f>(SUMIF('Build (Monthly)'!$C$6:$BV$6,E$5,'Build (Monthly)'!$C$29:$BV$29)+87.5*Assumptions!$C$37)*Assumptions!$C$43*Assumptions!$C$6</f>
        <v/>
      </c>
      <c r="F21" s="71">
        <f>(SUMIF('Build (Monthly)'!$C$6:$BV$6,F$5,'Build (Monthly)'!$C$29:$BV$29)+112.5*Assumptions!$C$37)*Assumptions!$C$43*Assumptions!$C$6</f>
        <v/>
      </c>
      <c r="G21" s="71">
        <f>(SUMIF('Build (Monthly)'!$C$6:$BV$6,G$5,'Build (Monthly)'!$C$29:$BV$29)+137.5*Assumptions!$C$37)*Assumptions!$C$43*Assumptions!$C$6</f>
        <v/>
      </c>
      <c r="H21" s="71">
        <f>(SUMIF('Build (Monthly)'!$C$6:$BV$6,H$5,'Build (Monthly)'!$C$29:$BV$29)+162.5*Assumptions!$C$37)*Assumptions!$C$43*Assumptions!$C$6</f>
        <v/>
      </c>
    </row>
    <row r="22">
      <c r="B22" s="6" t="inlineStr">
        <is>
          <t>Acquisition (organizers)</t>
        </is>
      </c>
      <c r="C22" s="71">
        <f>SUMIF('Build (Monthly)'!$C$6:$BV$6,C$5,'Build (Monthly)'!$C$13:$BV$13)*Assumptions!$C$44*Assumptions!$C$6+SUMIF('Build (Monthly)'!$C$6:$BV$6,C$5,'Build (Monthly)'!$C$12:$BV$12)*Assumptions!$C$44*Assumptions!$C$6</f>
        <v/>
      </c>
      <c r="D22" s="71">
        <f>SUMIF('Build (Monthly)'!$C$6:$BV$6,D$5,'Build (Monthly)'!$C$13:$BV$13)*Assumptions!$C$44*Assumptions!$C$6+SUMIF('Build (Monthly)'!$C$6:$BV$6,D$5,'Build (Monthly)'!$C$12:$BV$12)*Assumptions!$C$44*Assumptions!$C$6</f>
        <v/>
      </c>
      <c r="E22" s="71">
        <f>SUMIF('Build (Monthly)'!$C$6:$BV$6,E$5,'Build (Monthly)'!$C$13:$BV$13)*Assumptions!$C$44*Assumptions!$C$6+SUMIF('Build (Monthly)'!$C$6:$BV$6,E$5,'Build (Monthly)'!$C$12:$BV$12)*Assumptions!$C$44*Assumptions!$C$6</f>
        <v/>
      </c>
      <c r="F22" s="71">
        <f>SUMIF('Build (Monthly)'!$C$6:$BV$6,F$5,'Build (Monthly)'!$C$13:$BV$13)*Assumptions!$C$44*Assumptions!$C$6+SUMIF('Build (Monthly)'!$C$6:$BV$6,F$5,'Build (Monthly)'!$C$12:$BV$12)*Assumptions!$C$44*Assumptions!$C$6</f>
        <v/>
      </c>
      <c r="G22" s="71">
        <f>SUMIF('Build (Monthly)'!$C$6:$BV$6,G$5,'Build (Monthly)'!$C$13:$BV$13)*Assumptions!$C$44*Assumptions!$C$6+SUMIF('Build (Monthly)'!$C$6:$BV$6,G$5,'Build (Monthly)'!$C$12:$BV$12)*Assumptions!$C$44*Assumptions!$C$6</f>
        <v/>
      </c>
      <c r="H22" s="71">
        <f>SUMIF('Build (Monthly)'!$C$6:$BV$6,H$5,'Build (Monthly)'!$C$13:$BV$13)*Assumptions!$C$44*Assumptions!$C$6+SUMIF('Build (Monthly)'!$C$6:$BV$6,H$5,'Build (Monthly)'!$C$12:$BV$12)*Assumptions!$C$44*Assumptions!$C$6</f>
        <v/>
      </c>
    </row>
    <row r="23">
      <c r="B23" s="6" t="inlineStr">
        <is>
          <t>Brand &amp; retention</t>
        </is>
      </c>
      <c r="C23" s="71">
        <f>C17*Assumptions!$C$45</f>
        <v/>
      </c>
      <c r="D23" s="71">
        <f>D17*Assumptions!$C$45</f>
        <v/>
      </c>
      <c r="E23" s="71">
        <f>E17*Assumptions!$C$45</f>
        <v/>
      </c>
      <c r="F23" s="71">
        <f>F17*Assumptions!$C$45</f>
        <v/>
      </c>
      <c r="G23" s="71">
        <f>G17*Assumptions!$C$45</f>
        <v/>
      </c>
      <c r="H23" s="71">
        <f>H17*Assumptions!$C$45</f>
        <v/>
      </c>
    </row>
    <row r="24">
      <c r="B24" s="6" t="inlineStr">
        <is>
          <t>Central budget</t>
        </is>
      </c>
      <c r="C24" s="71" t="n">
        <v>11000000</v>
      </c>
      <c r="D24" s="71" t="n">
        <v>18000000</v>
      </c>
      <c r="E24" s="71" t="n">
        <v>28000000</v>
      </c>
      <c r="F24" s="71" t="n">
        <v>42000000</v>
      </c>
      <c r="G24" s="71" t="n">
        <v>62000000</v>
      </c>
      <c r="H24" s="71" t="n">
        <v>88000000</v>
      </c>
    </row>
    <row r="25">
      <c r="B25" s="47" t="inlineStr">
        <is>
          <t>TOTAL COST</t>
        </is>
      </c>
      <c r="C25" s="73">
        <f>SUM(C20:C24)</f>
        <v/>
      </c>
      <c r="D25" s="73">
        <f>SUM(D20:D24)</f>
        <v/>
      </c>
      <c r="E25" s="73">
        <f>SUM(E20:E24)</f>
        <v/>
      </c>
      <c r="F25" s="73">
        <f>SUM(F20:F24)</f>
        <v/>
      </c>
      <c r="G25" s="73">
        <f>SUM(G20:G24)</f>
        <v/>
      </c>
      <c r="H25" s="73">
        <f>SUM(H20:H24)</f>
        <v/>
      </c>
    </row>
    <row r="27">
      <c r="B27" s="47" t="inlineStr">
        <is>
          <t>EBITDA</t>
        </is>
      </c>
      <c r="C27" s="72">
        <f>C17-C25</f>
        <v/>
      </c>
      <c r="D27" s="72">
        <f>D17-D25</f>
        <v/>
      </c>
      <c r="E27" s="72">
        <f>E17-E25</f>
        <v/>
      </c>
      <c r="F27" s="72">
        <f>F17-F25</f>
        <v/>
      </c>
      <c r="G27" s="72">
        <f>G17-G25</f>
        <v/>
      </c>
      <c r="H27" s="72">
        <f>H17-H25</f>
        <v/>
      </c>
    </row>
    <row r="28">
      <c r="B28" s="6" t="inlineStr">
        <is>
          <t>EBITDA margin</t>
        </is>
      </c>
      <c r="C28" s="74">
        <f>C27/C17</f>
        <v/>
      </c>
      <c r="D28" s="74">
        <f>D27/D17</f>
        <v/>
      </c>
      <c r="E28" s="74">
        <f>E27/E17</f>
        <v/>
      </c>
      <c r="F28" s="74">
        <f>F27/F17</f>
        <v/>
      </c>
      <c r="G28" s="74">
        <f>G27/G17</f>
        <v/>
      </c>
      <c r="H28" s="74">
        <f>H27/H17</f>
        <v/>
      </c>
    </row>
    <row r="30">
      <c r="B30" s="6" t="inlineStr">
        <is>
          <t>Capex</t>
        </is>
      </c>
      <c r="C30" s="71" t="n">
        <v>4400000</v>
      </c>
      <c r="D30" s="71" t="n">
        <v>3200000</v>
      </c>
      <c r="E30" s="71" t="n">
        <v>2500000</v>
      </c>
      <c r="F30" s="71" t="n">
        <v>2500000</v>
      </c>
      <c r="G30" s="71" t="n">
        <v>2500000</v>
      </c>
      <c r="H30" s="71" t="n">
        <v>2500000</v>
      </c>
    </row>
    <row r="31">
      <c r="B31" s="47" t="inlineStr">
        <is>
          <t>Free cash flow</t>
        </is>
      </c>
      <c r="C31" s="71">
        <f>C27-C30</f>
        <v/>
      </c>
      <c r="D31" s="71">
        <f>D27-D30</f>
        <v/>
      </c>
      <c r="E31" s="71">
        <f>E27-E30</f>
        <v/>
      </c>
      <c r="F31" s="71">
        <f>F27-F30</f>
        <v/>
      </c>
      <c r="G31" s="71">
        <f>G27-G30</f>
        <v/>
      </c>
      <c r="H31" s="71">
        <f>H27-H30</f>
        <v/>
      </c>
    </row>
    <row r="32">
      <c r="B32" s="47" t="inlineStr">
        <is>
          <t>Cumulative cash</t>
        </is>
      </c>
      <c r="C32" s="73">
        <f>C31</f>
        <v/>
      </c>
      <c r="D32" s="73">
        <f>C32+D31</f>
        <v/>
      </c>
      <c r="E32" s="73">
        <f>D32+E31</f>
        <v/>
      </c>
      <c r="F32" s="73">
        <f>E32+F31</f>
        <v/>
      </c>
      <c r="G32" s="73">
        <f>F32+G31</f>
        <v/>
      </c>
      <c r="H32" s="73">
        <f>G32+H31</f>
        <v/>
      </c>
    </row>
    <row r="34">
      <c r="B34" s="16" t="inlineStr">
        <is>
          <t>MEMO — INSURANCE</t>
        </is>
      </c>
    </row>
    <row r="35">
      <c r="B35" s="6" t="inlineStr">
        <is>
          <t>Jackpot gross entries</t>
        </is>
      </c>
      <c r="C35" s="71">
        <f>SUMIF('Build (Monthly)'!$C$6:$BV$6,C$5,'Build (Monthly)'!$C$25:$BV$25)*Assumptions!$C$6</f>
        <v/>
      </c>
      <c r="D35" s="71">
        <f>SUMIF('Build (Monthly)'!$C$6:$BV$6,D$5,'Build (Monthly)'!$C$25:$BV$25)*Assumptions!$C$6</f>
        <v/>
      </c>
      <c r="E35" s="71">
        <f>SUMIF('Build (Monthly)'!$C$6:$BV$6,E$5,'Build (Monthly)'!$C$25:$BV$25)*Assumptions!$C$6</f>
        <v/>
      </c>
      <c r="F35" s="71">
        <f>SUMIF('Build (Monthly)'!$C$6:$BV$6,F$5,'Build (Monthly)'!$C$25:$BV$25)*Assumptions!$C$6</f>
        <v/>
      </c>
      <c r="G35" s="71">
        <f>SUMIF('Build (Monthly)'!$C$6:$BV$6,G$5,'Build (Monthly)'!$C$25:$BV$25)*Assumptions!$C$6</f>
        <v/>
      </c>
      <c r="H35" s="71">
        <f>SUMIF('Build (Monthly)'!$C$6:$BV$6,H$5,'Build (Monthly)'!$C$25:$BV$25)*Assumptions!$C$6</f>
        <v/>
      </c>
    </row>
    <row r="36">
      <c r="B36" s="6" t="inlineStr">
        <is>
          <t>Premium ceded</t>
        </is>
      </c>
      <c r="C36" s="71">
        <f>SUMIF('Build (Monthly)'!$C$6:$BV$6,C$5,'Build (Monthly)'!$C$30:$BV$30)*Assumptions!$C$6</f>
        <v/>
      </c>
      <c r="D36" s="71">
        <f>SUMIF('Build (Monthly)'!$C$6:$BV$6,D$5,'Build (Monthly)'!$C$30:$BV$30)*Assumptions!$C$6</f>
        <v/>
      </c>
      <c r="E36" s="71">
        <f>SUMIF('Build (Monthly)'!$C$6:$BV$6,E$5,'Build (Monthly)'!$C$30:$BV$30)*Assumptions!$C$6</f>
        <v/>
      </c>
      <c r="F36" s="71">
        <f>SUMIF('Build (Monthly)'!$C$6:$BV$6,F$5,'Build (Monthly)'!$C$30:$BV$30)*Assumptions!$C$6</f>
        <v/>
      </c>
      <c r="G36" s="71">
        <f>SUMIF('Build (Monthly)'!$C$6:$BV$6,G$5,'Build (Monthly)'!$C$30:$BV$30)*Assumptions!$C$6</f>
        <v/>
      </c>
      <c r="H36" s="71">
        <f>SUMIF('Build (Monthly)'!$C$6:$BV$6,H$5,'Build (Monthly)'!$C$30:$BV$30)*Assumptions!$C$6</f>
        <v/>
      </c>
    </row>
    <row r="37">
      <c r="B37" s="6" t="inlineStr">
        <is>
          <t>Expected claims</t>
        </is>
      </c>
      <c r="C37" s="71">
        <f>SUMIF('Build (Monthly)'!$C$6:$BV$6,C$5,'Build (Monthly)'!$C$31:$BV$31)*Assumptions!$C$6</f>
        <v/>
      </c>
      <c r="D37" s="71">
        <f>SUMIF('Build (Monthly)'!$C$6:$BV$6,D$5,'Build (Monthly)'!$C$31:$BV$31)*Assumptions!$C$6</f>
        <v/>
      </c>
      <c r="E37" s="71">
        <f>SUMIF('Build (Monthly)'!$C$6:$BV$6,E$5,'Build (Monthly)'!$C$31:$BV$31)*Assumptions!$C$6</f>
        <v/>
      </c>
      <c r="F37" s="71">
        <f>SUMIF('Build (Monthly)'!$C$6:$BV$6,F$5,'Build (Monthly)'!$C$31:$BV$31)*Assumptions!$C$6</f>
        <v/>
      </c>
      <c r="G37" s="71">
        <f>SUMIF('Build (Monthly)'!$C$6:$BV$6,G$5,'Build (Monthly)'!$C$31:$BV$31)*Assumptions!$C$6</f>
        <v/>
      </c>
      <c r="H37" s="71">
        <f>SUMIF('Build (Monthly)'!$C$6:$BV$6,H$5,'Build (Monthly)'!$C$31:$BV$31)*Assumptions!$C$6</f>
        <v/>
      </c>
    </row>
    <row r="38">
      <c r="B38" s="6" t="inlineStr">
        <is>
          <t>Loss ratio</t>
        </is>
      </c>
      <c r="C38" s="74">
        <f>C37/C36</f>
        <v/>
      </c>
      <c r="D38" s="74">
        <f>D37/D36</f>
        <v/>
      </c>
      <c r="E38" s="74">
        <f>E37/E36</f>
        <v/>
      </c>
      <c r="F38" s="74">
        <f>F37/F36</f>
        <v/>
      </c>
      <c r="G38" s="74">
        <f>G37/G36</f>
        <v/>
      </c>
      <c r="H38" s="74">
        <f>H37/H36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F6F6B"/>
    <outlinePr summaryBelow="1" summaryRight="1"/>
    <pageSetUpPr/>
  </sheetPr>
  <dimension ref="B2:H2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2">
      <c r="B2" s="27" t="inlineStr">
        <is>
          <t>INSURANCE — THE SANTAM SUBMISSION, UNCHANGED</t>
        </is>
      </c>
    </row>
    <row r="3">
      <c r="B3" s="6" t="inlineStr">
        <is>
          <t>Premium is collected on the same swing that creates the risk. The subscription carries ZERO prize risk.</t>
        </is>
      </c>
    </row>
    <row r="5">
      <c r="B5" s="6" t="inlineStr">
        <is>
          <t>Premium (% of entry)</t>
        </is>
      </c>
      <c r="C5" s="51" t="n">
        <v>0.24</v>
      </c>
    </row>
    <row r="6">
      <c r="B6" s="6" t="inlineStr">
        <is>
          <t>Cover (% of prize)</t>
        </is>
      </c>
      <c r="C6" s="51" t="n">
        <v>1</v>
      </c>
    </row>
    <row r="7">
      <c r="B7" s="6" t="inlineStr">
        <is>
          <t>Broker commission (% of premium)</t>
        </is>
      </c>
      <c r="C7" s="51" t="n">
        <v>0.2</v>
      </c>
    </row>
    <row r="8">
      <c r="B8" s="6" t="inlineStr">
        <is>
          <t>Per-attempt ace probability</t>
        </is>
      </c>
      <c r="C8" s="51" t="n">
        <v>8.000000000000001e-05</v>
      </c>
    </row>
    <row r="10">
      <c r="B10" s="47" t="inlineStr">
        <is>
          <t>TIER LADDER</t>
        </is>
      </c>
      <c r="D10" s="9" t="inlineStr">
        <is>
          <t>Entry → insured prize, with the mix realised across 10,000 trailing entries. $17.00 weighted entry · $4.08 premium · $1.30 expected claim → 31.9% loss ratio, 2.51× breakeven.</t>
        </is>
      </c>
    </row>
    <row r="11">
      <c r="B11" s="6" t="inlineStr">
        <is>
          <t>Tier</t>
        </is>
      </c>
      <c r="C11" s="51" t="inlineStr">
        <is>
          <t>Entry ($)</t>
        </is>
      </c>
      <c r="D11" s="51" t="inlineStr">
        <is>
          <t>Prize ($)</t>
        </is>
      </c>
      <c r="E11" s="51" t="inlineStr">
        <is>
          <t>Mix</t>
        </is>
      </c>
      <c r="F11" s="51" t="inlineStr">
        <is>
          <t>Premium/entry</t>
        </is>
      </c>
      <c r="G11" s="51" t="inlineStr">
        <is>
          <t>Exp. claim/entry</t>
        </is>
      </c>
      <c r="H11" s="51" t="inlineStr">
        <is>
          <t>Loss ratio</t>
        </is>
      </c>
    </row>
    <row r="12">
      <c r="B12" s="6" t="inlineStr">
        <is>
          <t>Tier 1</t>
        </is>
      </c>
      <c r="C12" s="51" t="n">
        <v>1</v>
      </c>
      <c r="D12" s="51" t="n">
        <v>500</v>
      </c>
      <c r="E12" s="51" t="n">
        <v>0.25</v>
      </c>
      <c r="F12" s="51">
        <f>C12*$C$5</f>
        <v/>
      </c>
      <c r="G12" s="51">
        <f>D12*$C$8*$C$6</f>
        <v/>
      </c>
      <c r="H12" s="51">
        <f>G12/F12</f>
        <v/>
      </c>
    </row>
    <row r="13">
      <c r="B13" s="6" t="inlineStr">
        <is>
          <t>Tier 2</t>
        </is>
      </c>
      <c r="C13" s="51" t="n">
        <v>5</v>
      </c>
      <c r="D13" s="51" t="n">
        <v>2500</v>
      </c>
      <c r="E13" s="51" t="n">
        <v>0.25</v>
      </c>
      <c r="F13" s="51">
        <f>C13*$C$5</f>
        <v/>
      </c>
      <c r="G13" s="51">
        <f>D13*$C$8*$C$6</f>
        <v/>
      </c>
      <c r="H13" s="51">
        <f>G13/F13</f>
        <v/>
      </c>
    </row>
    <row r="14">
      <c r="B14" s="6" t="inlineStr">
        <is>
          <t>Tier 3</t>
        </is>
      </c>
      <c r="C14" s="51" t="n">
        <v>10</v>
      </c>
      <c r="D14" s="51" t="n">
        <v>10000</v>
      </c>
      <c r="E14" s="51" t="n">
        <v>0.3</v>
      </c>
      <c r="F14" s="51">
        <f>C14*$C$5</f>
        <v/>
      </c>
      <c r="G14" s="51">
        <f>D14*$C$8*$C$6</f>
        <v/>
      </c>
      <c r="H14" s="51">
        <f>G14/F14</f>
        <v/>
      </c>
    </row>
    <row r="15">
      <c r="B15" s="6" t="inlineStr">
        <is>
          <t>Tier 4</t>
        </is>
      </c>
      <c r="C15" s="51" t="n">
        <v>50</v>
      </c>
      <c r="D15" s="51" t="n">
        <v>50000</v>
      </c>
      <c r="E15" s="51" t="n">
        <v>0.15</v>
      </c>
      <c r="F15" s="51">
        <f>C15*$C$5</f>
        <v/>
      </c>
      <c r="G15" s="51">
        <f>D15*$C$8*$C$6</f>
        <v/>
      </c>
      <c r="H15" s="51">
        <f>G15/F15</f>
        <v/>
      </c>
    </row>
    <row r="16">
      <c r="B16" s="6" t="inlineStr">
        <is>
          <t>Tier 5</t>
        </is>
      </c>
      <c r="C16" s="51" t="n">
        <v>100</v>
      </c>
      <c r="D16" s="51" t="n">
        <v>100000</v>
      </c>
      <c r="E16" s="51" t="n">
        <v>0.05</v>
      </c>
      <c r="F16" s="51">
        <f>C16*$C$5</f>
        <v/>
      </c>
      <c r="G16" s="51">
        <f>D16*$C$8*$C$6</f>
        <v/>
      </c>
      <c r="H16" s="51">
        <f>G16/F16</f>
        <v/>
      </c>
    </row>
    <row r="17">
      <c r="B17" s="6" t="inlineStr">
        <is>
          <t>Weighted average</t>
        </is>
      </c>
      <c r="C17" s="51">
        <f>SUMPRODUCT($E$12:$E$16,C12:C16)</f>
        <v/>
      </c>
      <c r="D17" s="51">
        <f>SUMPRODUCT($E$12:$E$16,D12:D16)</f>
        <v/>
      </c>
      <c r="E17" s="51">
        <f>SUM(E12:E16)</f>
        <v/>
      </c>
      <c r="F17" s="51">
        <f>SUMPRODUCT($E$12:$E$16,F12:F16)</f>
        <v/>
      </c>
      <c r="G17" s="51">
        <f>SUMPRODUCT($E$12:$E$16,G12:G16)</f>
        <v/>
      </c>
      <c r="H17" s="51">
        <f>G17/F17</f>
        <v/>
      </c>
    </row>
    <row r="19">
      <c r="B19" s="6" t="inlineStr">
        <is>
          <t>Loss ratio (claims / premium)</t>
        </is>
      </c>
      <c r="C19" s="51">
        <f>H17</f>
        <v/>
      </c>
    </row>
    <row r="20">
      <c r="B20" s="6" t="inlineStr">
        <is>
          <t>Combined ratio (incl. brokerage)</t>
        </is>
      </c>
      <c r="C20" s="51">
        <f>(G17+F17*C7)/F17</f>
        <v/>
      </c>
    </row>
    <row r="21">
      <c r="B21" s="6" t="inlineStr">
        <is>
          <t>Breakeven ace frequency multiple</t>
        </is>
      </c>
      <c r="C21" s="51">
        <f>(F17*(1-C7))/G17</f>
        <v/>
      </c>
    </row>
    <row r="22">
      <c r="B22" s="6" t="inlineStr">
        <is>
          <t>Largest single-event exposure ($)</t>
        </is>
      </c>
      <c r="C22" s="51">
        <f>MAX(D12:D16)</f>
        <v/>
      </c>
    </row>
    <row r="24">
      <c r="B24" s="6" t="inlineStr">
        <is>
          <t>GROUP-POOLED ON THE SLIP: the fourball buys in together; four swings on one designated hole;</t>
        </is>
      </c>
    </row>
    <row r="25">
      <c r="B25" s="6" t="inlineStr">
        <is>
          <t>any ace pays the group. Mechanically each swing is one entry above — nothing changes for the insurer.</t>
        </is>
      </c>
    </row>
    <row r="27">
      <c r="B27" s="6" t="inlineStr">
        <is>
          <t>NOT BOUND: submitted structure. No revised policy is bound on these terms as at August 2026.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9A94E"/>
    <outlinePr summaryBelow="1" summaryRight="1"/>
    <pageSetUpPr/>
  </sheetPr>
  <dimension ref="B2:G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2">
      <c r="B2" s="27" t="inlineStr">
        <is>
          <t>VALUATION &amp; INVESTOR RETURNS</t>
        </is>
      </c>
    </row>
    <row r="3">
      <c r="B3" s="11" t="inlineStr">
        <is>
          <t>Milestones struck at a flat 3.0× revenue — the round implies 3.69×, so the rating compresses as the company scales. Returns shown on the full R8m for 15%; unrealised marks, not realised returns.</t>
        </is>
      </c>
    </row>
    <row r="5">
      <c r="C5" s="52" t="inlineStr">
        <is>
          <t>2027</t>
        </is>
      </c>
      <c r="D5" s="52" t="inlineStr">
        <is>
          <t>Dec 2029</t>
        </is>
      </c>
      <c r="E5" s="52" t="inlineStr">
        <is>
          <t>2032</t>
        </is>
      </c>
    </row>
    <row r="6">
      <c r="B6" s="6" t="inlineStr">
        <is>
          <t>Total revenue (ZAR)</t>
        </is>
      </c>
      <c r="C6" s="71">
        <f>Annual!C17</f>
        <v/>
      </c>
      <c r="D6" s="71">
        <f>Annual!E17</f>
        <v/>
      </c>
      <c r="E6" s="71">
        <f>Annual!H17</f>
        <v/>
      </c>
    </row>
    <row r="7">
      <c r="B7" s="6" t="inlineStr">
        <is>
          <t>EBITDA (ZAR)</t>
        </is>
      </c>
      <c r="C7" s="71">
        <f>Annual!C27</f>
        <v/>
      </c>
      <c r="D7" s="71">
        <f>Annual!E27</f>
        <v/>
      </c>
      <c r="E7" s="71">
        <f>Annual!H27</f>
        <v/>
      </c>
    </row>
    <row r="8">
      <c r="B8" s="6" t="inlineStr">
        <is>
          <t>Revenue multiple applied</t>
        </is>
      </c>
      <c r="C8" s="75">
        <f>C10/C6</f>
        <v/>
      </c>
      <c r="D8" s="75">
        <f>Assumptions!$C$48</f>
        <v/>
      </c>
      <c r="E8" s="75">
        <f>Assumptions!$C$48</f>
        <v/>
      </c>
    </row>
    <row r="9">
      <c r="B9" s="6" t="inlineStr">
        <is>
          <t xml:space="preserve">  (2027 shows what the round implies — not an input)</t>
        </is>
      </c>
    </row>
    <row r="10">
      <c r="B10" s="6" t="inlineStr">
        <is>
          <t>Valuation milestone (ZAR)</t>
        </is>
      </c>
      <c r="C10" s="73">
        <f>Assumptions!$C$9</f>
        <v/>
      </c>
      <c r="D10" s="73">
        <f>D6*D8</f>
        <v/>
      </c>
      <c r="E10" s="73">
        <f>E6*E8</f>
        <v/>
      </c>
    </row>
    <row r="12">
      <c r="B12" s="16" t="inlineStr">
        <is>
          <t>INVESTOR</t>
        </is>
      </c>
    </row>
    <row r="13">
      <c r="B13" s="6" t="inlineStr">
        <is>
          <t>Ticket (ZAR)</t>
        </is>
      </c>
      <c r="C13" s="71" t="n">
        <v>8000000</v>
      </c>
    </row>
    <row r="14">
      <c r="B14" s="6" t="inlineStr">
        <is>
          <t>Stake (raise / post)</t>
        </is>
      </c>
      <c r="C14" s="74">
        <f>C13/Assumptions!$C$9</f>
        <v/>
      </c>
    </row>
    <row r="15">
      <c r="B15" s="6" t="inlineStr">
        <is>
          <t>Value of stake</t>
        </is>
      </c>
      <c r="C15" s="73">
        <f>$C$14*C10</f>
        <v/>
      </c>
      <c r="D15" s="73">
        <f>$C$14*D10</f>
        <v/>
      </c>
      <c r="E15" s="73">
        <f>$C$14*E10</f>
        <v/>
      </c>
    </row>
    <row r="16">
      <c r="B16" s="6" t="inlineStr">
        <is>
          <t>Multiple on ticket</t>
        </is>
      </c>
      <c r="C16" s="76">
        <f>C15/$C$13</f>
        <v/>
      </c>
      <c r="D16" s="76">
        <f>D15/$C$13</f>
        <v/>
      </c>
      <c r="E16" s="76">
        <f>E15/$C$13</f>
        <v/>
      </c>
    </row>
    <row r="17">
      <c r="B17" s="6" t="inlineStr">
        <is>
          <t>IRR to Dec 2029 (3 years from Jan 2027)</t>
        </is>
      </c>
      <c r="D17" s="74">
        <f>D16^(1/3)-1</f>
        <v/>
      </c>
    </row>
    <row r="18">
      <c r="B18" s="6" t="inlineStr">
        <is>
          <t>Unrealised mark on a private holding, not a realised return.</t>
        </is>
      </c>
    </row>
    <row r="20">
      <c r="B20" s="16" t="inlineStr">
        <is>
          <t>FUNDING</t>
        </is>
      </c>
    </row>
    <row r="21">
      <c r="B21" s="6" t="inlineStr">
        <is>
          <t>Peak cumulative drawdown (ZAR)</t>
        </is>
      </c>
      <c r="C21" s="71">
        <f>MIN(Annual!C32:H32)</f>
        <v/>
      </c>
    </row>
    <row r="22">
      <c r="B22" s="6" t="inlineStr">
        <is>
          <t>Raise (ZAR)</t>
        </is>
      </c>
      <c r="C22" s="71">
        <f>Assumptions!$C$7</f>
        <v/>
      </c>
    </row>
    <row r="24">
      <c r="B24" s="6" t="inlineStr">
        <is>
          <t>MULTIPLE SENSITIVITY — 3.0x is a choice</t>
        </is>
      </c>
      <c r="G24" s="51" t="inlineStr">
        <is>
          <t>Headline figures from the pitch: R53.3m / R185.0m (Dec 2029) / R967.8m (2032).</t>
        </is>
      </c>
    </row>
    <row r="25">
      <c r="B25" s="6" t="inlineStr">
        <is>
          <t>At 2.5x</t>
        </is>
      </c>
      <c r="C25" s="71">
        <f>Annual!E17*2.5</f>
        <v/>
      </c>
      <c r="D25" s="75">
        <f>C25*$C$14/$C$13</f>
        <v/>
      </c>
    </row>
    <row r="26">
      <c r="B26" s="6" t="inlineStr">
        <is>
          <t>At 3.0x(used)</t>
        </is>
      </c>
      <c r="C26" s="71">
        <f>Annual!E17*3.0</f>
        <v/>
      </c>
      <c r="D26" s="75">
        <f>C26*$C$14/$C$13</f>
        <v/>
      </c>
    </row>
    <row r="27">
      <c r="B27" s="6" t="inlineStr">
        <is>
          <t>At 3.5x</t>
        </is>
      </c>
      <c r="C27" s="71">
        <f>Annual!E17*3.5</f>
        <v/>
      </c>
      <c r="D27" s="75">
        <f>C27*$C$14/$C$13</f>
        <v/>
      </c>
    </row>
    <row r="29">
      <c r="B29" s="16" t="inlineStr">
        <is>
          <t>RISKS TO THESE NUMBERS</t>
        </is>
      </c>
    </row>
    <row r="30">
      <c r="B30" s="6" t="inlineStr">
        <is>
          <t>Jackpot attach (35%) is the decisive assumption — measured by the 90-day pilot before the app ships.</t>
        </is>
      </c>
    </row>
    <row r="31">
      <c r="B31" s="6" t="inlineStr">
        <is>
          <t>Santam's written sign-off on the peer-game wrapper is a gating milestone, not yet in hand.</t>
        </is>
      </c>
    </row>
    <row r="32">
      <c r="B32" s="6" t="inlineStr">
        <is>
          <t>The P2P legal opinion is commissioned before launch; the peer layer is free and custody-free by design.</t>
        </is>
      </c>
    </row>
    <row r="33">
      <c r="B33" s="6" t="inlineStr">
        <is>
          <t>Simulator operator agreements are not signed; no approach made as at Aug 2026.</t>
        </is>
      </c>
    </row>
    <row r="34">
      <c r="B34" s="6" t="inlineStr">
        <is>
          <t>Peer GMV is an engagement KPI. Get Lucky's revenue from peer stakes is ZERO, permanently.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2026-08-06T11:58:40Z</dcterms:created>
  <dcterms:modified xsi:type="dcterms:W3CDTF">2026-08-06T18:01:23Z</dcterms:modified>
</cp:coreProperties>
</file>