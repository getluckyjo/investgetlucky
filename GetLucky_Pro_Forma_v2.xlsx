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Build (Monthly)" sheetId="3" state="visible" r:id="rId3"/>
    <sheet name="Insurance" sheetId="4" state="visible" r:id="rId4"/>
    <sheet name="Annual" sheetId="5" state="visible" r:id="rId5"/>
    <sheet name="Val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3"/>
    </font>
    <font>
      <color rgb="001F4E9C"/>
    </font>
    <font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3452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4"/>
  <sheetViews>
    <sheetView workbookViewId="0">
      <selection activeCell="A1" sqref="A1"/>
    </sheetView>
  </sheetViews>
  <sheetFormatPr baseColWidth="8" defaultRowHeight="15"/>
  <cols>
    <col width="110" customWidth="1" min="2" max="2"/>
  </cols>
  <sheetData>
    <row r="2">
      <c r="B2" s="1" t="inlineStr">
        <is>
          <t>GET LUCKY GOLF CLUB — PRO FORMA</t>
        </is>
      </c>
    </row>
    <row r="3">
      <c r="B3" t="inlineStr">
        <is>
          <t>Three-part revenue model: membership, pay-per-play, upsells.</t>
        </is>
      </c>
    </row>
    <row r="5">
      <c r="B5" s="2" t="inlineStr">
        <is>
          <t>HOW THE MODEL WORKS</t>
        </is>
      </c>
    </row>
    <row r="6">
      <c r="B6" t="inlineStr">
        <is>
          <t>Membership buys ACCESS — the app, the courses, member pricing. It carries no prize risk and insures nothing.</t>
        </is>
      </c>
    </row>
    <row r="7">
      <c r="B7" t="inlineStr">
        <is>
          <t>The ENTRY buys one swing at one insured prize. 24% of it is ceded as premium on that same swing.</t>
        </is>
      </c>
    </row>
    <row r="8">
      <c r="B8" t="inlineStr">
        <is>
          <t>UPSELLS are added in the moment, on top of an entry. They attach to entries already counted — never new volume.</t>
        </is>
      </c>
    </row>
    <row r="9">
      <c r="B9" t="inlineStr">
        <is>
          <t>This structure is why the cover is underwritable. A subscription buying unlimited insured swings leaves premium fixed</t>
        </is>
      </c>
    </row>
    <row r="10">
      <c r="B10" t="inlineStr">
        <is>
          <t>and exposure open-ended. Charging for the swing closes it. See the Insurance tab and GetLucky_Insurance_Model.xlsx.</t>
        </is>
      </c>
    </row>
    <row r="12">
      <c r="B12" s="2" t="inlineStr">
        <is>
          <t>REPORTING BASIS</t>
        </is>
      </c>
    </row>
    <row r="13">
      <c r="B13" t="inlineStr">
        <is>
          <t>Every stream is reported NET of third-party shares so they sit on one basis and can be added:</t>
        </is>
      </c>
    </row>
    <row r="14">
      <c r="B14" t="inlineStr">
        <is>
          <t xml:space="preserve">  membership 100%  |  pay-per-play 66% (24% insurer + 10% course removed)  |  upsells 55%</t>
        </is>
      </c>
    </row>
    <row r="15">
      <c r="B15" t="inlineStr">
        <is>
          <t xml:space="preserve">  simulators 46% (24% insurer + 30% operator removed)  |  sponsorship 100%</t>
        </is>
      </c>
    </row>
    <row r="16">
      <c r="B16" t="inlineStr">
        <is>
          <t>Gross entry value, premium ceded and expected claims are carried as MEMO lines — they are what the insurer sees.</t>
        </is>
      </c>
    </row>
    <row r="18">
      <c r="B18" s="2" t="inlineStr">
        <is>
          <t>WHAT IS HISTORY AND WHAT IS FORECAST</t>
        </is>
      </c>
    </row>
    <row r="19">
      <c r="B19" t="inlineStr">
        <is>
          <t>Trailing 12 months to July 2026 — ACTUAL: R4.0m revenue (R2.5m Santam sponsorship + R1.5m entries),</t>
        </is>
      </c>
    </row>
    <row r="20">
      <c r="B20" t="inlineStr">
        <is>
          <t>10,000 entries at a realised R150 average, on R3.0m of capital invested.</t>
        </is>
      </c>
    </row>
    <row r="21">
      <c r="B21" s="2" t="inlineStr">
        <is>
          <t>EVERYTHING IN THIS WORKBOOK FROM 2026 ONWARD IS FORECAST.</t>
        </is>
      </c>
    </row>
    <row r="22">
      <c r="B22" t="inlineStr">
        <is>
          <t>The 2,000 opening members is a CONVERSION TARGET from the 60,000 members reached — not a current paying base.</t>
        </is>
      </c>
    </row>
    <row r="23">
      <c r="B23" t="inlineStr">
        <is>
          <t>It is ramped over six months rather than assumed on day one.</t>
        </is>
      </c>
    </row>
    <row r="25">
      <c r="B25" t="inlineStr">
        <is>
          <t>HEADLINE — the milestones the round is priced against</t>
        </is>
      </c>
    </row>
    <row r="26">
      <c r="B26" t="inlineStr">
        <is>
          <t>Milestone year is DECEMBER 2029. The build runs 48 months from Jan 2026.</t>
        </is>
      </c>
    </row>
    <row r="28">
      <c r="B28" s="2" t="inlineStr">
        <is>
          <t>COLOURS</t>
        </is>
      </c>
    </row>
    <row r="29">
      <c r="B29" t="inlineStr">
        <is>
          <t xml:space="preserve">  BLUE = an input you can change. BLACK = calculated.</t>
        </is>
      </c>
    </row>
    <row r="31">
      <c r="B31" s="2" t="inlineStr">
        <is>
          <t>NOT CONTRACTED</t>
        </is>
      </c>
    </row>
    <row r="32">
      <c r="B32" t="inlineStr">
        <is>
          <t>Simulator revenue depends on an operator agreement. None is signed and no approach has been made as at Aug 2026.</t>
        </is>
      </c>
    </row>
    <row r="33">
      <c r="B33" t="inlineStr">
        <is>
          <t>New-territory sponsorship partners are appointed at market entry and are not yet in place.</t>
        </is>
      </c>
    </row>
    <row r="34">
      <c r="B34" t="inlineStr">
        <is>
          <t>South African sponsorship is held FLAT at the contracted R3.5m run-rate after the Santam deal expires in 2028.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48"/>
  <sheetViews>
    <sheetView workbookViewId="0">
      <selection activeCell="A1" sqref="A1"/>
    </sheetView>
  </sheetViews>
  <sheetFormatPr baseColWidth="8" defaultRowHeight="15"/>
  <cols>
    <col width="52" customWidth="1" min="2" max="2"/>
    <col width="14" customWidth="1" min="3" max="3"/>
    <col width="62" customWidth="1" min="4" max="4"/>
  </cols>
  <sheetData>
    <row r="2">
      <c r="B2" s="1" t="inlineStr">
        <is>
          <t>ASSUMPTIONS</t>
        </is>
      </c>
    </row>
    <row r="3">
      <c r="B3" t="inlineStr">
        <is>
          <t>Blue = change me. Black = calculated.</t>
        </is>
      </c>
    </row>
    <row r="5">
      <c r="B5" s="2" t="inlineStr">
        <is>
          <t>DEAL</t>
        </is>
      </c>
    </row>
    <row r="6">
      <c r="B6" t="inlineStr">
        <is>
          <t>ZAR per USD</t>
        </is>
      </c>
      <c r="C6" s="3" t="n">
        <v>18.5</v>
      </c>
      <c r="D6" s="4" t="inlineStr">
        <is>
          <t>FX assumption</t>
        </is>
      </c>
    </row>
    <row r="7">
      <c r="B7" t="inlineStr">
        <is>
          <t>Raise (ZAR)</t>
        </is>
      </c>
      <c r="C7" s="3" t="n">
        <v>8000000</v>
      </c>
      <c r="D7" s="4" t="inlineStr">
        <is>
          <t>This round</t>
        </is>
      </c>
    </row>
    <row r="8">
      <c r="B8" t="inlineStr">
        <is>
          <t>Equity offered</t>
        </is>
      </c>
      <c r="C8" s="3" t="n">
        <v>0.15</v>
      </c>
      <c r="D8" s="4" t="inlineStr">
        <is>
          <t>15%</t>
        </is>
      </c>
    </row>
    <row r="9">
      <c r="B9" t="inlineStr">
        <is>
          <t>Post-money (ZAR)</t>
        </is>
      </c>
      <c r="C9">
        <f>C7/C8</f>
        <v/>
      </c>
      <c r="D9" s="4" t="inlineStr">
        <is>
          <t>Exact: 8.0m / 15%</t>
        </is>
      </c>
    </row>
    <row r="11">
      <c r="B11" s="2" t="inlineStr">
        <is>
          <t>MEMBERS</t>
        </is>
      </c>
    </row>
    <row r="12">
      <c r="B12" t="inlineStr">
        <is>
          <t>Members at month 0 (CONVERSION TARGET)</t>
        </is>
      </c>
      <c r="C12" s="3" t="n">
        <v>2000</v>
      </c>
      <c r="D12" s="4" t="inlineStr">
        <is>
          <t>NOT a current paying base — converted from the 60,000 reached, ramped over 6 months</t>
        </is>
      </c>
    </row>
    <row r="13">
      <c r="B13" t="inlineStr">
        <is>
          <t>Conversion ramp (months)</t>
        </is>
      </c>
      <c r="C13" s="3" t="n">
        <v>6</v>
      </c>
      <c r="D13" s="4" t="inlineStr">
        <is>
          <t>The 2,000 arrives over this many months</t>
        </is>
      </c>
    </row>
    <row r="14">
      <c r="B14" t="inlineStr">
        <is>
          <t>Gross monthly growth — Year 1</t>
        </is>
      </c>
      <c r="C14" s="3" t="n">
        <v>0.105</v>
      </c>
      <c r="D14" s="4" t="inlineStr">
        <is>
          <t>The Ernie effect</t>
        </is>
      </c>
    </row>
    <row r="15">
      <c r="B15" t="inlineStr">
        <is>
          <t>Gross monthly growth — Year 2</t>
        </is>
      </c>
      <c r="C15" s="3" t="n">
        <v>0.08</v>
      </c>
      <c r="D15" s="4" t="inlineStr">
        <is>
          <t>SA + first international</t>
        </is>
      </c>
    </row>
    <row r="16">
      <c r="B16" t="inlineStr">
        <is>
          <t>Gross monthly growth — Year 3</t>
        </is>
      </c>
      <c r="C16" s="3" t="n">
        <v>0.07000000000000001</v>
      </c>
      <c r="D16" s="4" t="inlineStr">
        <is>
          <t>Global markets open</t>
        </is>
      </c>
    </row>
    <row r="17">
      <c r="B17" t="inlineStr">
        <is>
          <t>Gross monthly growth — Year 4+</t>
        </is>
      </c>
      <c r="C17" s="3" t="n">
        <v>0.058</v>
      </c>
      <c r="D17" s="4" t="inlineStr">
        <is>
          <t>1.8% net + 4% churn</t>
        </is>
      </c>
    </row>
    <row r="18">
      <c r="B18" t="inlineStr">
        <is>
          <t>Monthly churn</t>
        </is>
      </c>
      <c r="C18" s="3" t="n">
        <v>0.04</v>
      </c>
      <c r="D18" s="4" t="inlineStr">
        <is>
          <t>% of base lost per month</t>
        </is>
      </c>
    </row>
    <row r="19">
      <c r="B19" t="inlineStr">
        <is>
          <t>Membership price (USD/month)</t>
        </is>
      </c>
      <c r="C19" s="3" t="n">
        <v>10</v>
      </c>
      <c r="D19" s="4" t="inlineStr">
        <is>
          <t>Access only. No prize risk.</t>
        </is>
      </c>
    </row>
    <row r="21">
      <c r="B21" s="2" t="inlineStr">
        <is>
          <t>PAY-PER-PLAY</t>
        </is>
      </c>
    </row>
    <row r="22">
      <c r="B22" t="inlineStr">
        <is>
          <t>Rounds per member per month</t>
        </is>
      </c>
      <c r="C22" s="3" t="n">
        <v>4</v>
      </c>
      <c r="D22" s="4" t="inlineStr">
        <is>
          <t>Rounds of golf played</t>
        </is>
      </c>
    </row>
    <row r="23">
      <c r="B23" t="inlineStr">
        <is>
          <t>Par 3 holes per round</t>
        </is>
      </c>
      <c r="C23" s="3" t="n">
        <v>4</v>
      </c>
      <c r="D23" s="4" t="inlineStr">
        <is>
          <t>One shot at each</t>
        </is>
      </c>
    </row>
    <row r="24">
      <c r="B24" t="inlineStr">
        <is>
          <t>Par 3 attempts per member per month</t>
        </is>
      </c>
      <c r="C24">
        <f>C22*C23</f>
        <v/>
      </c>
      <c r="D24" s="4" t="inlineStr">
        <is>
          <t>Maximum insurable swings available</t>
        </is>
      </c>
    </row>
    <row r="25">
      <c r="B25" t="inlineStr">
        <is>
          <t>Entry conversion (% of attempts bought)</t>
        </is>
      </c>
      <c r="C25" s="3" t="n">
        <v>0.0625</v>
      </c>
      <c r="D25" s="4" t="inlineStr">
        <is>
          <t>In-app take-up on an available Par 3</t>
        </is>
      </c>
    </row>
    <row r="26">
      <c r="B26" t="inlineStr">
        <is>
          <t>Paid entries per member per month</t>
        </is>
      </c>
      <c r="C26">
        <f>C24*C25</f>
        <v/>
      </c>
      <c r="D26" s="4" t="inlineStr">
        <is>
          <t>Drives all revenue AND all exposure</t>
        </is>
      </c>
    </row>
    <row r="27">
      <c r="B27" t="inlineStr">
        <is>
          <t>Weighted average entry (USD)</t>
        </is>
      </c>
      <c r="C27" s="3" t="n">
        <v>17</v>
      </c>
      <c r="D27" s="4" t="inlineStr">
        <is>
          <t>From the tier mix on the Insurance tab</t>
        </is>
      </c>
    </row>
    <row r="28">
      <c r="B28" t="inlineStr">
        <is>
          <t>Insurance premium (% of entry)</t>
        </is>
      </c>
      <c r="C28" s="3" t="n">
        <v>0.24</v>
      </c>
      <c r="D28" s="4" t="inlineStr">
        <is>
          <t>Ceded to the underwriter on the same swing</t>
        </is>
      </c>
    </row>
    <row r="29">
      <c r="B29" t="inlineStr">
        <is>
          <t>Course share (% of entry)</t>
        </is>
      </c>
      <c r="C29" s="3" t="n">
        <v>0.1</v>
      </c>
      <c r="D29" s="4" t="inlineStr">
        <is>
          <t>Course pays nothing upfront</t>
        </is>
      </c>
    </row>
    <row r="30">
      <c r="B30" t="inlineStr">
        <is>
          <t>Get Lucky share of entry</t>
        </is>
      </c>
      <c r="C30">
        <f>1-C28-C29</f>
        <v/>
      </c>
      <c r="D30" s="4" t="inlineStr">
        <is>
          <t>66%</t>
        </is>
      </c>
    </row>
    <row r="32">
      <c r="B32" s="2" t="inlineStr">
        <is>
          <t>UPSELLS</t>
        </is>
      </c>
    </row>
    <row r="33">
      <c r="B33" t="inlineStr">
        <is>
          <t>Attach rate on paid entries</t>
        </is>
      </c>
      <c r="C33" s="3" t="n">
        <v>0.09</v>
      </c>
      <c r="D33" s="4" t="inlineStr">
        <is>
          <t>Modelled, not observed — menu ships 2027</t>
        </is>
      </c>
    </row>
    <row r="34">
      <c r="B34" t="inlineStr">
        <is>
          <t>Average upsell (USD)</t>
        </is>
      </c>
      <c r="C34" s="3" t="n">
        <v>5</v>
      </c>
    </row>
    <row r="35">
      <c r="B35" t="inlineStr">
        <is>
          <t>Get Lucky net share</t>
        </is>
      </c>
      <c r="C35" s="3" t="n">
        <v>0.55</v>
      </c>
    </row>
    <row r="37">
      <c r="B37" s="2" t="inlineStr">
        <is>
          <t>COST STACK</t>
        </is>
      </c>
    </row>
    <row r="38">
      <c r="B38" t="inlineStr">
        <is>
          <t>Payment processing (% of gross collections)</t>
        </is>
      </c>
      <c r="C38" s="3" t="n">
        <v>0.03</v>
      </c>
    </row>
    <row r="39">
      <c r="B39" t="inlineStr">
        <is>
          <t>Verification &amp; claims ops (USD per paid entry)</t>
        </is>
      </c>
      <c r="C39" s="3" t="n">
        <v>0.5</v>
      </c>
      <c r="D39" s="4" t="inlineStr">
        <is>
          <t>Someone must verify every claim</t>
        </is>
      </c>
    </row>
    <row r="40">
      <c r="B40" t="inlineStr">
        <is>
          <t>Acquisition — CAC (USD per gross new member)</t>
        </is>
      </c>
      <c r="C40" s="3" t="n">
        <v>12</v>
      </c>
    </row>
    <row r="41">
      <c r="B41" t="inlineStr">
        <is>
          <t>Brand &amp; retention (% of revenue)</t>
        </is>
      </c>
      <c r="C41" s="3" t="n">
        <v>0.08</v>
      </c>
    </row>
    <row r="42">
      <c r="B42" t="inlineStr">
        <is>
          <t>Central budget 2026 (ZAR)</t>
        </is>
      </c>
      <c r="C42" s="3" t="n">
        <v>9500000</v>
      </c>
      <c r="D42" s="4" t="inlineStr">
        <is>
          <t>STATED BUDGET — hires ahead of revenue, not a % of revenue</t>
        </is>
      </c>
    </row>
    <row r="43">
      <c r="B43" t="inlineStr">
        <is>
          <t>Central budget 2029 (ZAR)</t>
        </is>
      </c>
      <c r="C43" s="3" t="n">
        <v>38000000</v>
      </c>
    </row>
    <row r="44">
      <c r="B44" t="inlineStr">
        <is>
          <t>Central budget 2032 (ZAR)</t>
        </is>
      </c>
      <c r="C44" s="3" t="n">
        <v>72000000</v>
      </c>
    </row>
    <row r="46">
      <c r="B46" s="2" t="inlineStr">
        <is>
          <t>VALUATION</t>
        </is>
      </c>
    </row>
    <row r="47">
      <c r="B47" t="inlineStr">
        <is>
          <t>Revenue multiple — every forward milestone</t>
        </is>
      </c>
      <c r="C47" s="3" t="n">
        <v>3</v>
      </c>
      <c r="D47" s="4" t="inlineStr">
        <is>
          <t>Flat. No expansion assumed anywhere.</t>
        </is>
      </c>
    </row>
    <row r="48">
      <c r="B48" t="inlineStr">
        <is>
          <t>Milestone year</t>
        </is>
      </c>
      <c r="C48" t="inlineStr">
        <is>
          <t>Dec 2029</t>
        </is>
      </c>
      <c r="D48" s="4" t="inlineStr">
        <is>
          <t>48 months from Jan 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H33"/>
  <sheetViews>
    <sheetView workbookViewId="0">
      <selection activeCell="A1" sqref="A1"/>
    </sheetView>
  </sheetViews>
  <sheetFormatPr baseColWidth="8" defaultRowHeight="15"/>
  <cols>
    <col width="46" customWidth="1" min="2" max="2"/>
  </cols>
  <sheetData>
    <row r="2">
      <c r="B2" s="1" t="inlineStr">
        <is>
          <t>84-MONTH BUILD — Jan 2026 to Dec 2032</t>
        </is>
      </c>
    </row>
    <row r="3">
      <c r="B3" t="inlineStr">
        <is>
          <t>Milestone is month 48 (Dec 2029). Calendar-year totals on the Annual tab.</t>
        </is>
      </c>
    </row>
    <row r="5">
      <c r="B5" t="inlineStr">
        <is>
          <t>Month</t>
        </is>
      </c>
      <c r="C5" t="n">
        <v>1</v>
      </c>
      <c r="D5" t="n">
        <v>2</v>
      </c>
      <c r="E5" t="n">
        <v>3</v>
      </c>
      <c r="F5" t="n">
        <v>4</v>
      </c>
      <c r="G5" t="n">
        <v>5</v>
      </c>
      <c r="H5" t="n">
        <v>6</v>
      </c>
      <c r="I5" t="n">
        <v>7</v>
      </c>
      <c r="J5" t="n">
        <v>8</v>
      </c>
      <c r="K5" t="n">
        <v>9</v>
      </c>
      <c r="L5" t="n">
        <v>10</v>
      </c>
      <c r="M5" t="n">
        <v>11</v>
      </c>
      <c r="N5" t="n">
        <v>12</v>
      </c>
      <c r="O5" t="n">
        <v>13</v>
      </c>
      <c r="P5" t="n">
        <v>14</v>
      </c>
      <c r="Q5" t="n">
        <v>15</v>
      </c>
      <c r="R5" t="n">
        <v>16</v>
      </c>
      <c r="S5" t="n">
        <v>17</v>
      </c>
      <c r="T5" t="n">
        <v>18</v>
      </c>
      <c r="U5" t="n">
        <v>19</v>
      </c>
      <c r="V5" t="n">
        <v>20</v>
      </c>
      <c r="W5" t="n">
        <v>21</v>
      </c>
      <c r="X5" t="n">
        <v>22</v>
      </c>
      <c r="Y5" t="n">
        <v>23</v>
      </c>
      <c r="Z5" t="n">
        <v>24</v>
      </c>
      <c r="AA5" t="n">
        <v>25</v>
      </c>
      <c r="AB5" t="n">
        <v>26</v>
      </c>
      <c r="AC5" t="n">
        <v>27</v>
      </c>
      <c r="AD5" t="n">
        <v>28</v>
      </c>
      <c r="AE5" t="n">
        <v>29</v>
      </c>
      <c r="AF5" t="n">
        <v>30</v>
      </c>
      <c r="AG5" t="n">
        <v>31</v>
      </c>
      <c r="AH5" t="n">
        <v>32</v>
      </c>
      <c r="AI5" t="n">
        <v>33</v>
      </c>
      <c r="AJ5" t="n">
        <v>34</v>
      </c>
      <c r="AK5" t="n">
        <v>35</v>
      </c>
      <c r="AL5" t="n">
        <v>36</v>
      </c>
      <c r="AM5" t="n">
        <v>37</v>
      </c>
      <c r="AN5" t="n">
        <v>38</v>
      </c>
      <c r="AO5" t="n">
        <v>39</v>
      </c>
      <c r="AP5" t="n">
        <v>40</v>
      </c>
      <c r="AQ5" t="n">
        <v>41</v>
      </c>
      <c r="AR5" t="n">
        <v>42</v>
      </c>
      <c r="AS5" t="n">
        <v>43</v>
      </c>
      <c r="AT5" t="n">
        <v>44</v>
      </c>
      <c r="AU5" t="n">
        <v>45</v>
      </c>
      <c r="AV5" t="n">
        <v>46</v>
      </c>
      <c r="AW5" t="n">
        <v>47</v>
      </c>
      <c r="AX5" t="n">
        <v>48</v>
      </c>
      <c r="AY5" t="n">
        <v>49</v>
      </c>
      <c r="AZ5" t="n">
        <v>50</v>
      </c>
      <c r="BA5" t="n">
        <v>51</v>
      </c>
      <c r="BB5" t="n">
        <v>52</v>
      </c>
      <c r="BC5" t="n">
        <v>53</v>
      </c>
      <c r="BD5" t="n">
        <v>54</v>
      </c>
      <c r="BE5" t="n">
        <v>55</v>
      </c>
      <c r="BF5" t="n">
        <v>56</v>
      </c>
      <c r="BG5" t="n">
        <v>57</v>
      </c>
      <c r="BH5" t="n">
        <v>58</v>
      </c>
      <c r="BI5" t="n">
        <v>59</v>
      </c>
      <c r="BJ5" t="n">
        <v>60</v>
      </c>
      <c r="BK5" t="n">
        <v>61</v>
      </c>
      <c r="BL5" t="n">
        <v>62</v>
      </c>
      <c r="BM5" t="n">
        <v>63</v>
      </c>
      <c r="BN5" t="n">
        <v>64</v>
      </c>
      <c r="BO5" t="n">
        <v>65</v>
      </c>
      <c r="BP5" t="n">
        <v>66</v>
      </c>
      <c r="BQ5" t="n">
        <v>67</v>
      </c>
      <c r="BR5" t="n">
        <v>68</v>
      </c>
      <c r="BS5" t="n">
        <v>69</v>
      </c>
      <c r="BT5" t="n">
        <v>70</v>
      </c>
      <c r="BU5" t="n">
        <v>71</v>
      </c>
      <c r="BV5" t="n">
        <v>72</v>
      </c>
      <c r="BW5" t="n">
        <v>73</v>
      </c>
      <c r="BX5" t="n">
        <v>74</v>
      </c>
      <c r="BY5" t="n">
        <v>75</v>
      </c>
      <c r="BZ5" t="n">
        <v>76</v>
      </c>
      <c r="CA5" t="n">
        <v>77</v>
      </c>
      <c r="CB5" t="n">
        <v>78</v>
      </c>
      <c r="CC5" t="n">
        <v>79</v>
      </c>
      <c r="CD5" t="n">
        <v>80</v>
      </c>
      <c r="CE5" t="n">
        <v>81</v>
      </c>
      <c r="CF5" t="n">
        <v>82</v>
      </c>
      <c r="CG5" t="n">
        <v>83</v>
      </c>
      <c r="CH5" t="n">
        <v>84</v>
      </c>
    </row>
    <row r="6">
      <c r="B6" t="inlineStr">
        <is>
          <t>Calendar year</t>
        </is>
      </c>
      <c r="C6" t="n">
        <v>2026</v>
      </c>
      <c r="D6" t="n">
        <v>2026</v>
      </c>
      <c r="E6" t="n">
        <v>2026</v>
      </c>
      <c r="F6" t="n">
        <v>2026</v>
      </c>
      <c r="G6" t="n">
        <v>2026</v>
      </c>
      <c r="H6" t="n">
        <v>2026</v>
      </c>
      <c r="I6" t="n">
        <v>2026</v>
      </c>
      <c r="J6" t="n">
        <v>2026</v>
      </c>
      <c r="K6" t="n">
        <v>2026</v>
      </c>
      <c r="L6" t="n">
        <v>2026</v>
      </c>
      <c r="M6" t="n">
        <v>2026</v>
      </c>
      <c r="N6" t="n">
        <v>2026</v>
      </c>
      <c r="O6" t="n">
        <v>2027</v>
      </c>
      <c r="P6" t="n">
        <v>2027</v>
      </c>
      <c r="Q6" t="n">
        <v>2027</v>
      </c>
      <c r="R6" t="n">
        <v>2027</v>
      </c>
      <c r="S6" t="n">
        <v>2027</v>
      </c>
      <c r="T6" t="n">
        <v>2027</v>
      </c>
      <c r="U6" t="n">
        <v>2027</v>
      </c>
      <c r="V6" t="n">
        <v>2027</v>
      </c>
      <c r="W6" t="n">
        <v>2027</v>
      </c>
      <c r="X6" t="n">
        <v>2027</v>
      </c>
      <c r="Y6" t="n">
        <v>2027</v>
      </c>
      <c r="Z6" t="n">
        <v>2027</v>
      </c>
      <c r="AA6" t="n">
        <v>2028</v>
      </c>
      <c r="AB6" t="n">
        <v>2028</v>
      </c>
      <c r="AC6" t="n">
        <v>2028</v>
      </c>
      <c r="AD6" t="n">
        <v>2028</v>
      </c>
      <c r="AE6" t="n">
        <v>2028</v>
      </c>
      <c r="AF6" t="n">
        <v>2028</v>
      </c>
      <c r="AG6" t="n">
        <v>2028</v>
      </c>
      <c r="AH6" t="n">
        <v>2028</v>
      </c>
      <c r="AI6" t="n">
        <v>2028</v>
      </c>
      <c r="AJ6" t="n">
        <v>2028</v>
      </c>
      <c r="AK6" t="n">
        <v>2028</v>
      </c>
      <c r="AL6" t="n">
        <v>2028</v>
      </c>
      <c r="AM6" t="n">
        <v>2029</v>
      </c>
      <c r="AN6" t="n">
        <v>2029</v>
      </c>
      <c r="AO6" t="n">
        <v>2029</v>
      </c>
      <c r="AP6" t="n">
        <v>2029</v>
      </c>
      <c r="AQ6" t="n">
        <v>2029</v>
      </c>
      <c r="AR6" t="n">
        <v>2029</v>
      </c>
      <c r="AS6" t="n">
        <v>2029</v>
      </c>
      <c r="AT6" t="n">
        <v>2029</v>
      </c>
      <c r="AU6" t="n">
        <v>2029</v>
      </c>
      <c r="AV6" t="n">
        <v>2029</v>
      </c>
      <c r="AW6" t="n">
        <v>2029</v>
      </c>
      <c r="AX6" t="n">
        <v>2029</v>
      </c>
      <c r="AY6" t="n">
        <v>2030</v>
      </c>
      <c r="AZ6" t="n">
        <v>2030</v>
      </c>
      <c r="BA6" t="n">
        <v>2030</v>
      </c>
      <c r="BB6" t="n">
        <v>2030</v>
      </c>
      <c r="BC6" t="n">
        <v>2030</v>
      </c>
      <c r="BD6" t="n">
        <v>2030</v>
      </c>
      <c r="BE6" t="n">
        <v>2030</v>
      </c>
      <c r="BF6" t="n">
        <v>2030</v>
      </c>
      <c r="BG6" t="n">
        <v>2030</v>
      </c>
      <c r="BH6" t="n">
        <v>2030</v>
      </c>
      <c r="BI6" t="n">
        <v>2030</v>
      </c>
      <c r="BJ6" t="n">
        <v>2030</v>
      </c>
      <c r="BK6" t="n">
        <v>2031</v>
      </c>
      <c r="BL6" t="n">
        <v>2031</v>
      </c>
      <c r="BM6" t="n">
        <v>2031</v>
      </c>
      <c r="BN6" t="n">
        <v>2031</v>
      </c>
      <c r="BO6" t="n">
        <v>2031</v>
      </c>
      <c r="BP6" t="n">
        <v>2031</v>
      </c>
      <c r="BQ6" t="n">
        <v>2031</v>
      </c>
      <c r="BR6" t="n">
        <v>2031</v>
      </c>
      <c r="BS6" t="n">
        <v>2031</v>
      </c>
      <c r="BT6" t="n">
        <v>2031</v>
      </c>
      <c r="BU6" t="n">
        <v>2031</v>
      </c>
      <c r="BV6" t="n">
        <v>2031</v>
      </c>
      <c r="BW6" t="n">
        <v>2032</v>
      </c>
      <c r="BX6" t="n">
        <v>2032</v>
      </c>
      <c r="BY6" t="n">
        <v>2032</v>
      </c>
      <c r="BZ6" t="n">
        <v>2032</v>
      </c>
      <c r="CA6" t="n">
        <v>2032</v>
      </c>
      <c r="CB6" t="n">
        <v>2032</v>
      </c>
      <c r="CC6" t="n">
        <v>2032</v>
      </c>
      <c r="CD6" t="n">
        <v>2032</v>
      </c>
      <c r="CE6" t="n">
        <v>2032</v>
      </c>
      <c r="CF6" t="n">
        <v>2032</v>
      </c>
      <c r="CG6" t="n">
        <v>2032</v>
      </c>
      <c r="CH6" t="n">
        <v>2032</v>
      </c>
    </row>
    <row r="7">
      <c r="B7" t="inlineStr">
        <is>
          <t>Year index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2</v>
      </c>
      <c r="W7" t="n">
        <v>2</v>
      </c>
      <c r="X7" t="n">
        <v>2</v>
      </c>
      <c r="Y7" t="n">
        <v>2</v>
      </c>
      <c r="Z7" t="n">
        <v>2</v>
      </c>
      <c r="AA7" t="n">
        <v>3</v>
      </c>
      <c r="AB7" t="n">
        <v>3</v>
      </c>
      <c r="AC7" t="n">
        <v>3</v>
      </c>
      <c r="AD7" t="n">
        <v>3</v>
      </c>
      <c r="AE7" t="n">
        <v>3</v>
      </c>
      <c r="AF7" t="n">
        <v>3</v>
      </c>
      <c r="AG7" t="n">
        <v>3</v>
      </c>
      <c r="AH7" t="n">
        <v>3</v>
      </c>
      <c r="AI7" t="n">
        <v>3</v>
      </c>
      <c r="AJ7" t="n">
        <v>3</v>
      </c>
      <c r="AK7" t="n">
        <v>3</v>
      </c>
      <c r="AL7" t="n">
        <v>3</v>
      </c>
      <c r="AM7" t="n">
        <v>4</v>
      </c>
      <c r="AN7" t="n">
        <v>4</v>
      </c>
      <c r="AO7" t="n">
        <v>4</v>
      </c>
      <c r="AP7" t="n">
        <v>4</v>
      </c>
      <c r="AQ7" t="n">
        <v>4</v>
      </c>
      <c r="AR7" t="n">
        <v>4</v>
      </c>
      <c r="AS7" t="n">
        <v>4</v>
      </c>
      <c r="AT7" t="n">
        <v>4</v>
      </c>
      <c r="AU7" t="n">
        <v>4</v>
      </c>
      <c r="AV7" t="n">
        <v>4</v>
      </c>
      <c r="AW7" t="n">
        <v>4</v>
      </c>
      <c r="AX7" t="n">
        <v>4</v>
      </c>
      <c r="AY7" t="n">
        <v>5</v>
      </c>
      <c r="AZ7" t="n">
        <v>5</v>
      </c>
      <c r="BA7" t="n">
        <v>5</v>
      </c>
      <c r="BB7" t="n">
        <v>5</v>
      </c>
      <c r="BC7" t="n">
        <v>5</v>
      </c>
      <c r="BD7" t="n">
        <v>5</v>
      </c>
      <c r="BE7" t="n">
        <v>5</v>
      </c>
      <c r="BF7" t="n">
        <v>5</v>
      </c>
      <c r="BG7" t="n">
        <v>5</v>
      </c>
      <c r="BH7" t="n">
        <v>5</v>
      </c>
      <c r="BI7" t="n">
        <v>5</v>
      </c>
      <c r="BJ7" t="n">
        <v>5</v>
      </c>
      <c r="BK7" t="n">
        <v>6</v>
      </c>
      <c r="BL7" t="n">
        <v>6</v>
      </c>
      <c r="BM7" t="n">
        <v>6</v>
      </c>
      <c r="BN7" t="n">
        <v>6</v>
      </c>
      <c r="BO7" t="n">
        <v>6</v>
      </c>
      <c r="BP7" t="n">
        <v>6</v>
      </c>
      <c r="BQ7" t="n">
        <v>6</v>
      </c>
      <c r="BR7" t="n">
        <v>6</v>
      </c>
      <c r="BS7" t="n">
        <v>6</v>
      </c>
      <c r="BT7" t="n">
        <v>6</v>
      </c>
      <c r="BU7" t="n">
        <v>6</v>
      </c>
      <c r="BV7" t="n">
        <v>6</v>
      </c>
      <c r="BW7" t="n">
        <v>7</v>
      </c>
      <c r="BX7" t="n">
        <v>7</v>
      </c>
      <c r="BY7" t="n">
        <v>7</v>
      </c>
      <c r="BZ7" t="n">
        <v>7</v>
      </c>
      <c r="CA7" t="n">
        <v>7</v>
      </c>
      <c r="CB7" t="n">
        <v>7</v>
      </c>
      <c r="CC7" t="n">
        <v>7</v>
      </c>
      <c r="CD7" t="n">
        <v>7</v>
      </c>
      <c r="CE7" t="n">
        <v>7</v>
      </c>
      <c r="CF7" t="n">
        <v>7</v>
      </c>
      <c r="CG7" t="n">
        <v>7</v>
      </c>
      <c r="CH7" t="n">
        <v>7</v>
      </c>
    </row>
    <row r="8">
      <c r="B8" t="inlineStr">
        <is>
          <t>Gross growth rate applied</t>
        </is>
      </c>
      <c r="C8">
        <f>Assumptions!$C$14</f>
        <v/>
      </c>
      <c r="D8">
        <f>Assumptions!$C$14</f>
        <v/>
      </c>
      <c r="E8">
        <f>Assumptions!$C$14</f>
        <v/>
      </c>
      <c r="F8">
        <f>Assumptions!$C$14</f>
        <v/>
      </c>
      <c r="G8">
        <f>Assumptions!$C$14</f>
        <v/>
      </c>
      <c r="H8">
        <f>Assumptions!$C$14</f>
        <v/>
      </c>
      <c r="I8">
        <f>Assumptions!$C$14</f>
        <v/>
      </c>
      <c r="J8">
        <f>Assumptions!$C$14</f>
        <v/>
      </c>
      <c r="K8">
        <f>Assumptions!$C$14</f>
        <v/>
      </c>
      <c r="L8">
        <f>Assumptions!$C$14</f>
        <v/>
      </c>
      <c r="M8">
        <f>Assumptions!$C$14</f>
        <v/>
      </c>
      <c r="N8">
        <f>Assumptions!$C$14</f>
        <v/>
      </c>
      <c r="O8">
        <f>Assumptions!$C$15</f>
        <v/>
      </c>
      <c r="P8">
        <f>Assumptions!$C$15</f>
        <v/>
      </c>
      <c r="Q8">
        <f>Assumptions!$C$15</f>
        <v/>
      </c>
      <c r="R8">
        <f>Assumptions!$C$15</f>
        <v/>
      </c>
      <c r="S8">
        <f>Assumptions!$C$15</f>
        <v/>
      </c>
      <c r="T8">
        <f>Assumptions!$C$15</f>
        <v/>
      </c>
      <c r="U8">
        <f>Assumptions!$C$15</f>
        <v/>
      </c>
      <c r="V8">
        <f>Assumptions!$C$15</f>
        <v/>
      </c>
      <c r="W8">
        <f>Assumptions!$C$15</f>
        <v/>
      </c>
      <c r="X8">
        <f>Assumptions!$C$15</f>
        <v/>
      </c>
      <c r="Y8">
        <f>Assumptions!$C$15</f>
        <v/>
      </c>
      <c r="Z8">
        <f>Assumptions!$C$15</f>
        <v/>
      </c>
      <c r="AA8">
        <f>Assumptions!$C$16</f>
        <v/>
      </c>
      <c r="AB8">
        <f>Assumptions!$C$16</f>
        <v/>
      </c>
      <c r="AC8">
        <f>Assumptions!$C$16</f>
        <v/>
      </c>
      <c r="AD8">
        <f>Assumptions!$C$16</f>
        <v/>
      </c>
      <c r="AE8">
        <f>Assumptions!$C$16</f>
        <v/>
      </c>
      <c r="AF8">
        <f>Assumptions!$C$16</f>
        <v/>
      </c>
      <c r="AG8">
        <f>Assumptions!$C$16</f>
        <v/>
      </c>
      <c r="AH8">
        <f>Assumptions!$C$16</f>
        <v/>
      </c>
      <c r="AI8">
        <f>Assumptions!$C$16</f>
        <v/>
      </c>
      <c r="AJ8">
        <f>Assumptions!$C$16</f>
        <v/>
      </c>
      <c r="AK8">
        <f>Assumptions!$C$16</f>
        <v/>
      </c>
      <c r="AL8">
        <f>Assumptions!$C$16</f>
        <v/>
      </c>
      <c r="AM8">
        <f>Assumptions!$C$17</f>
        <v/>
      </c>
      <c r="AN8">
        <f>Assumptions!$C$17</f>
        <v/>
      </c>
      <c r="AO8">
        <f>Assumptions!$C$17</f>
        <v/>
      </c>
      <c r="AP8">
        <f>Assumptions!$C$17</f>
        <v/>
      </c>
      <c r="AQ8">
        <f>Assumptions!$C$17</f>
        <v/>
      </c>
      <c r="AR8">
        <f>Assumptions!$C$17</f>
        <v/>
      </c>
      <c r="AS8">
        <f>Assumptions!$C$17</f>
        <v/>
      </c>
      <c r="AT8">
        <f>Assumptions!$C$17</f>
        <v/>
      </c>
      <c r="AU8">
        <f>Assumptions!$C$17</f>
        <v/>
      </c>
      <c r="AV8">
        <f>Assumptions!$C$17</f>
        <v/>
      </c>
      <c r="AW8">
        <f>Assumptions!$C$17</f>
        <v/>
      </c>
      <c r="AX8">
        <f>Assumptions!$C$17</f>
        <v/>
      </c>
      <c r="AY8">
        <f>Assumptions!$C$17</f>
        <v/>
      </c>
      <c r="AZ8">
        <f>Assumptions!$C$17</f>
        <v/>
      </c>
      <c r="BA8">
        <f>Assumptions!$C$17</f>
        <v/>
      </c>
      <c r="BB8">
        <f>Assumptions!$C$17</f>
        <v/>
      </c>
      <c r="BC8">
        <f>Assumptions!$C$17</f>
        <v/>
      </c>
      <c r="BD8">
        <f>Assumptions!$C$17</f>
        <v/>
      </c>
      <c r="BE8">
        <f>Assumptions!$C$17</f>
        <v/>
      </c>
      <c r="BF8">
        <f>Assumptions!$C$17</f>
        <v/>
      </c>
      <c r="BG8">
        <f>Assumptions!$C$17</f>
        <v/>
      </c>
      <c r="BH8">
        <f>Assumptions!$C$17</f>
        <v/>
      </c>
      <c r="BI8">
        <f>Assumptions!$C$17</f>
        <v/>
      </c>
      <c r="BJ8">
        <f>Assumptions!$C$17</f>
        <v/>
      </c>
      <c r="BK8">
        <f>Assumptions!$C$17</f>
        <v/>
      </c>
      <c r="BL8">
        <f>Assumptions!$C$17</f>
        <v/>
      </c>
      <c r="BM8">
        <f>Assumptions!$C$17</f>
        <v/>
      </c>
      <c r="BN8">
        <f>Assumptions!$C$17</f>
        <v/>
      </c>
      <c r="BO8">
        <f>Assumptions!$C$17</f>
        <v/>
      </c>
      <c r="BP8">
        <f>Assumptions!$C$17</f>
        <v/>
      </c>
      <c r="BQ8">
        <f>Assumptions!$C$17</f>
        <v/>
      </c>
      <c r="BR8">
        <f>Assumptions!$C$17</f>
        <v/>
      </c>
      <c r="BS8">
        <f>Assumptions!$C$17</f>
        <v/>
      </c>
      <c r="BT8">
        <f>Assumptions!$C$17</f>
        <v/>
      </c>
      <c r="BU8">
        <f>Assumptions!$C$17</f>
        <v/>
      </c>
      <c r="BV8">
        <f>Assumptions!$C$17</f>
        <v/>
      </c>
      <c r="BW8">
        <f>Assumptions!$C$17</f>
        <v/>
      </c>
      <c r="BX8">
        <f>Assumptions!$C$17</f>
        <v/>
      </c>
      <c r="BY8">
        <f>Assumptions!$C$17</f>
        <v/>
      </c>
      <c r="BZ8">
        <f>Assumptions!$C$17</f>
        <v/>
      </c>
      <c r="CA8">
        <f>Assumptions!$C$17</f>
        <v/>
      </c>
      <c r="CB8">
        <f>Assumptions!$C$17</f>
        <v/>
      </c>
      <c r="CC8">
        <f>Assumptions!$C$17</f>
        <v/>
      </c>
      <c r="CD8">
        <f>Assumptions!$C$17</f>
        <v/>
      </c>
      <c r="CE8">
        <f>Assumptions!$C$17</f>
        <v/>
      </c>
      <c r="CF8">
        <f>Assumptions!$C$17</f>
        <v/>
      </c>
      <c r="CG8">
        <f>Assumptions!$C$17</f>
        <v/>
      </c>
      <c r="CH8">
        <f>Assumptions!$C$17</f>
        <v/>
      </c>
    </row>
    <row r="10">
      <c r="B10" s="2" t="inlineStr">
        <is>
          <t>MEMBERS</t>
        </is>
      </c>
    </row>
    <row r="11">
      <c r="B11" t="inlineStr">
        <is>
          <t>Opening members</t>
        </is>
      </c>
      <c r="C11" t="n">
        <v>0</v>
      </c>
      <c r="D11">
        <f>C15</f>
        <v/>
      </c>
      <c r="E11">
        <f>D15</f>
        <v/>
      </c>
      <c r="F11">
        <f>E15</f>
        <v/>
      </c>
      <c r="G11">
        <f>F15</f>
        <v/>
      </c>
      <c r="H11">
        <f>G15</f>
        <v/>
      </c>
      <c r="I11">
        <f>H15</f>
        <v/>
      </c>
      <c r="J11">
        <f>I15</f>
        <v/>
      </c>
      <c r="K11">
        <f>J15</f>
        <v/>
      </c>
      <c r="L11">
        <f>K15</f>
        <v/>
      </c>
      <c r="M11">
        <f>L15</f>
        <v/>
      </c>
      <c r="N11">
        <f>M15</f>
        <v/>
      </c>
      <c r="O11">
        <f>N15</f>
        <v/>
      </c>
      <c r="P11">
        <f>O15</f>
        <v/>
      </c>
      <c r="Q11">
        <f>P15</f>
        <v/>
      </c>
      <c r="R11">
        <f>Q15</f>
        <v/>
      </c>
      <c r="S11">
        <f>R15</f>
        <v/>
      </c>
      <c r="T11">
        <f>S15</f>
        <v/>
      </c>
      <c r="U11">
        <f>T15</f>
        <v/>
      </c>
      <c r="V11">
        <f>U15</f>
        <v/>
      </c>
      <c r="W11">
        <f>V15</f>
        <v/>
      </c>
      <c r="X11">
        <f>W15</f>
        <v/>
      </c>
      <c r="Y11">
        <f>X15</f>
        <v/>
      </c>
      <c r="Z11">
        <f>Y15</f>
        <v/>
      </c>
      <c r="AA11">
        <f>Z15</f>
        <v/>
      </c>
      <c r="AB11">
        <f>AA15</f>
        <v/>
      </c>
      <c r="AC11">
        <f>AB15</f>
        <v/>
      </c>
      <c r="AD11">
        <f>AC15</f>
        <v/>
      </c>
      <c r="AE11">
        <f>AD15</f>
        <v/>
      </c>
      <c r="AF11">
        <f>AE15</f>
        <v/>
      </c>
      <c r="AG11">
        <f>AF15</f>
        <v/>
      </c>
      <c r="AH11">
        <f>AG15</f>
        <v/>
      </c>
      <c r="AI11">
        <f>AH15</f>
        <v/>
      </c>
      <c r="AJ11">
        <f>AI15</f>
        <v/>
      </c>
      <c r="AK11">
        <f>AJ15</f>
        <v/>
      </c>
      <c r="AL11">
        <f>AK15</f>
        <v/>
      </c>
      <c r="AM11">
        <f>AL15</f>
        <v/>
      </c>
      <c r="AN11">
        <f>AM15</f>
        <v/>
      </c>
      <c r="AO11">
        <f>AN15</f>
        <v/>
      </c>
      <c r="AP11">
        <f>AO15</f>
        <v/>
      </c>
      <c r="AQ11">
        <f>AP15</f>
        <v/>
      </c>
      <c r="AR11">
        <f>AQ15</f>
        <v/>
      </c>
      <c r="AS11">
        <f>AR15</f>
        <v/>
      </c>
      <c r="AT11">
        <f>AS15</f>
        <v/>
      </c>
      <c r="AU11">
        <f>AT15</f>
        <v/>
      </c>
      <c r="AV11">
        <f>AU15</f>
        <v/>
      </c>
      <c r="AW11">
        <f>AV15</f>
        <v/>
      </c>
      <c r="AX11">
        <f>AW15</f>
        <v/>
      </c>
      <c r="AY11">
        <f>AX15</f>
        <v/>
      </c>
      <c r="AZ11">
        <f>AY15</f>
        <v/>
      </c>
      <c r="BA11">
        <f>AZ15</f>
        <v/>
      </c>
      <c r="BB11">
        <f>BA15</f>
        <v/>
      </c>
      <c r="BC11">
        <f>BB15</f>
        <v/>
      </c>
      <c r="BD11">
        <f>BC15</f>
        <v/>
      </c>
      <c r="BE11">
        <f>BD15</f>
        <v/>
      </c>
      <c r="BF11">
        <f>BE15</f>
        <v/>
      </c>
      <c r="BG11">
        <f>BF15</f>
        <v/>
      </c>
      <c r="BH11">
        <f>BG15</f>
        <v/>
      </c>
      <c r="BI11">
        <f>BH15</f>
        <v/>
      </c>
      <c r="BJ11">
        <f>BI15</f>
        <v/>
      </c>
      <c r="BK11">
        <f>BJ15</f>
        <v/>
      </c>
      <c r="BL11">
        <f>BK15</f>
        <v/>
      </c>
      <c r="BM11">
        <f>BL15</f>
        <v/>
      </c>
      <c r="BN11">
        <f>BM15</f>
        <v/>
      </c>
      <c r="BO11">
        <f>BN15</f>
        <v/>
      </c>
      <c r="BP11">
        <f>BO15</f>
        <v/>
      </c>
      <c r="BQ11">
        <f>BP15</f>
        <v/>
      </c>
      <c r="BR11">
        <f>BQ15</f>
        <v/>
      </c>
      <c r="BS11">
        <f>BR15</f>
        <v/>
      </c>
      <c r="BT11">
        <f>BS15</f>
        <v/>
      </c>
      <c r="BU11">
        <f>BT15</f>
        <v/>
      </c>
      <c r="BV11">
        <f>BU15</f>
        <v/>
      </c>
      <c r="BW11">
        <f>BV15</f>
        <v/>
      </c>
      <c r="BX11">
        <f>BW15</f>
        <v/>
      </c>
      <c r="BY11">
        <f>BX15</f>
        <v/>
      </c>
      <c r="BZ11">
        <f>BY15</f>
        <v/>
      </c>
      <c r="CA11">
        <f>BZ15</f>
        <v/>
      </c>
      <c r="CB11">
        <f>CA15</f>
        <v/>
      </c>
      <c r="CC11">
        <f>CB15</f>
        <v/>
      </c>
      <c r="CD11">
        <f>CC15</f>
        <v/>
      </c>
      <c r="CE11">
        <f>CD15</f>
        <v/>
      </c>
      <c r="CF11">
        <f>CE15</f>
        <v/>
      </c>
      <c r="CG11">
        <f>CF15</f>
        <v/>
      </c>
      <c r="CH11">
        <f>CG15</f>
        <v/>
      </c>
    </row>
    <row r="12">
      <c r="B12" t="inlineStr">
        <is>
          <t xml:space="preserve">  Conversion intake (ramp)</t>
        </is>
      </c>
      <c r="C12">
        <f>IF(C5&lt;=Assumptions!$C$13,Assumptions!$C$12/Assumptions!$C$13,0)</f>
        <v/>
      </c>
      <c r="D12">
        <f>IF(D5&lt;=Assumptions!$C$13,Assumptions!$C$12/Assumptions!$C$13,0)</f>
        <v/>
      </c>
      <c r="E12">
        <f>IF(E5&lt;=Assumptions!$C$13,Assumptions!$C$12/Assumptions!$C$13,0)</f>
        <v/>
      </c>
      <c r="F12">
        <f>IF(F5&lt;=Assumptions!$C$13,Assumptions!$C$12/Assumptions!$C$13,0)</f>
        <v/>
      </c>
      <c r="G12">
        <f>IF(G5&lt;=Assumptions!$C$13,Assumptions!$C$12/Assumptions!$C$13,0)</f>
        <v/>
      </c>
      <c r="H12">
        <f>IF(H5&lt;=Assumptions!$C$13,Assumptions!$C$12/Assumptions!$C$13,0)</f>
        <v/>
      </c>
      <c r="I12">
        <f>IF(I5&lt;=Assumptions!$C$13,Assumptions!$C$12/Assumptions!$C$13,0)</f>
        <v/>
      </c>
      <c r="J12">
        <f>IF(J5&lt;=Assumptions!$C$13,Assumptions!$C$12/Assumptions!$C$13,0)</f>
        <v/>
      </c>
      <c r="K12">
        <f>IF(K5&lt;=Assumptions!$C$13,Assumptions!$C$12/Assumptions!$C$13,0)</f>
        <v/>
      </c>
      <c r="L12">
        <f>IF(L5&lt;=Assumptions!$C$13,Assumptions!$C$12/Assumptions!$C$13,0)</f>
        <v/>
      </c>
      <c r="M12">
        <f>IF(M5&lt;=Assumptions!$C$13,Assumptions!$C$12/Assumptions!$C$13,0)</f>
        <v/>
      </c>
      <c r="N12">
        <f>IF(N5&lt;=Assumptions!$C$13,Assumptions!$C$12/Assumptions!$C$13,0)</f>
        <v/>
      </c>
      <c r="O12">
        <f>IF(O5&lt;=Assumptions!$C$13,Assumptions!$C$12/Assumptions!$C$13,0)</f>
        <v/>
      </c>
      <c r="P12">
        <f>IF(P5&lt;=Assumptions!$C$13,Assumptions!$C$12/Assumptions!$C$13,0)</f>
        <v/>
      </c>
      <c r="Q12">
        <f>IF(Q5&lt;=Assumptions!$C$13,Assumptions!$C$12/Assumptions!$C$13,0)</f>
        <v/>
      </c>
      <c r="R12">
        <f>IF(R5&lt;=Assumptions!$C$13,Assumptions!$C$12/Assumptions!$C$13,0)</f>
        <v/>
      </c>
      <c r="S12">
        <f>IF(S5&lt;=Assumptions!$C$13,Assumptions!$C$12/Assumptions!$C$13,0)</f>
        <v/>
      </c>
      <c r="T12">
        <f>IF(T5&lt;=Assumptions!$C$13,Assumptions!$C$12/Assumptions!$C$13,0)</f>
        <v/>
      </c>
      <c r="U12">
        <f>IF(U5&lt;=Assumptions!$C$13,Assumptions!$C$12/Assumptions!$C$13,0)</f>
        <v/>
      </c>
      <c r="V12">
        <f>IF(V5&lt;=Assumptions!$C$13,Assumptions!$C$12/Assumptions!$C$13,0)</f>
        <v/>
      </c>
      <c r="W12">
        <f>IF(W5&lt;=Assumptions!$C$13,Assumptions!$C$12/Assumptions!$C$13,0)</f>
        <v/>
      </c>
      <c r="X12">
        <f>IF(X5&lt;=Assumptions!$C$13,Assumptions!$C$12/Assumptions!$C$13,0)</f>
        <v/>
      </c>
      <c r="Y12">
        <f>IF(Y5&lt;=Assumptions!$C$13,Assumptions!$C$12/Assumptions!$C$13,0)</f>
        <v/>
      </c>
      <c r="Z12">
        <f>IF(Z5&lt;=Assumptions!$C$13,Assumptions!$C$12/Assumptions!$C$13,0)</f>
        <v/>
      </c>
      <c r="AA12">
        <f>IF(AA5&lt;=Assumptions!$C$13,Assumptions!$C$12/Assumptions!$C$13,0)</f>
        <v/>
      </c>
      <c r="AB12">
        <f>IF(AB5&lt;=Assumptions!$C$13,Assumptions!$C$12/Assumptions!$C$13,0)</f>
        <v/>
      </c>
      <c r="AC12">
        <f>IF(AC5&lt;=Assumptions!$C$13,Assumptions!$C$12/Assumptions!$C$13,0)</f>
        <v/>
      </c>
      <c r="AD12">
        <f>IF(AD5&lt;=Assumptions!$C$13,Assumptions!$C$12/Assumptions!$C$13,0)</f>
        <v/>
      </c>
      <c r="AE12">
        <f>IF(AE5&lt;=Assumptions!$C$13,Assumptions!$C$12/Assumptions!$C$13,0)</f>
        <v/>
      </c>
      <c r="AF12">
        <f>IF(AF5&lt;=Assumptions!$C$13,Assumptions!$C$12/Assumptions!$C$13,0)</f>
        <v/>
      </c>
      <c r="AG12">
        <f>IF(AG5&lt;=Assumptions!$C$13,Assumptions!$C$12/Assumptions!$C$13,0)</f>
        <v/>
      </c>
      <c r="AH12">
        <f>IF(AH5&lt;=Assumptions!$C$13,Assumptions!$C$12/Assumptions!$C$13,0)</f>
        <v/>
      </c>
      <c r="AI12">
        <f>IF(AI5&lt;=Assumptions!$C$13,Assumptions!$C$12/Assumptions!$C$13,0)</f>
        <v/>
      </c>
      <c r="AJ12">
        <f>IF(AJ5&lt;=Assumptions!$C$13,Assumptions!$C$12/Assumptions!$C$13,0)</f>
        <v/>
      </c>
      <c r="AK12">
        <f>IF(AK5&lt;=Assumptions!$C$13,Assumptions!$C$12/Assumptions!$C$13,0)</f>
        <v/>
      </c>
      <c r="AL12">
        <f>IF(AL5&lt;=Assumptions!$C$13,Assumptions!$C$12/Assumptions!$C$13,0)</f>
        <v/>
      </c>
      <c r="AM12">
        <f>IF(AM5&lt;=Assumptions!$C$13,Assumptions!$C$12/Assumptions!$C$13,0)</f>
        <v/>
      </c>
      <c r="AN12">
        <f>IF(AN5&lt;=Assumptions!$C$13,Assumptions!$C$12/Assumptions!$C$13,0)</f>
        <v/>
      </c>
      <c r="AO12">
        <f>IF(AO5&lt;=Assumptions!$C$13,Assumptions!$C$12/Assumptions!$C$13,0)</f>
        <v/>
      </c>
      <c r="AP12">
        <f>IF(AP5&lt;=Assumptions!$C$13,Assumptions!$C$12/Assumptions!$C$13,0)</f>
        <v/>
      </c>
      <c r="AQ12">
        <f>IF(AQ5&lt;=Assumptions!$C$13,Assumptions!$C$12/Assumptions!$C$13,0)</f>
        <v/>
      </c>
      <c r="AR12">
        <f>IF(AR5&lt;=Assumptions!$C$13,Assumptions!$C$12/Assumptions!$C$13,0)</f>
        <v/>
      </c>
      <c r="AS12">
        <f>IF(AS5&lt;=Assumptions!$C$13,Assumptions!$C$12/Assumptions!$C$13,0)</f>
        <v/>
      </c>
      <c r="AT12">
        <f>IF(AT5&lt;=Assumptions!$C$13,Assumptions!$C$12/Assumptions!$C$13,0)</f>
        <v/>
      </c>
      <c r="AU12">
        <f>IF(AU5&lt;=Assumptions!$C$13,Assumptions!$C$12/Assumptions!$C$13,0)</f>
        <v/>
      </c>
      <c r="AV12">
        <f>IF(AV5&lt;=Assumptions!$C$13,Assumptions!$C$12/Assumptions!$C$13,0)</f>
        <v/>
      </c>
      <c r="AW12">
        <f>IF(AW5&lt;=Assumptions!$C$13,Assumptions!$C$12/Assumptions!$C$13,0)</f>
        <v/>
      </c>
      <c r="AX12">
        <f>IF(AX5&lt;=Assumptions!$C$13,Assumptions!$C$12/Assumptions!$C$13,0)</f>
        <v/>
      </c>
      <c r="AY12">
        <f>IF(AY5&lt;=Assumptions!$C$13,Assumptions!$C$12/Assumptions!$C$13,0)</f>
        <v/>
      </c>
      <c r="AZ12">
        <f>IF(AZ5&lt;=Assumptions!$C$13,Assumptions!$C$12/Assumptions!$C$13,0)</f>
        <v/>
      </c>
      <c r="BA12">
        <f>IF(BA5&lt;=Assumptions!$C$13,Assumptions!$C$12/Assumptions!$C$13,0)</f>
        <v/>
      </c>
      <c r="BB12">
        <f>IF(BB5&lt;=Assumptions!$C$13,Assumptions!$C$12/Assumptions!$C$13,0)</f>
        <v/>
      </c>
      <c r="BC12">
        <f>IF(BC5&lt;=Assumptions!$C$13,Assumptions!$C$12/Assumptions!$C$13,0)</f>
        <v/>
      </c>
      <c r="BD12">
        <f>IF(BD5&lt;=Assumptions!$C$13,Assumptions!$C$12/Assumptions!$C$13,0)</f>
        <v/>
      </c>
      <c r="BE12">
        <f>IF(BE5&lt;=Assumptions!$C$13,Assumptions!$C$12/Assumptions!$C$13,0)</f>
        <v/>
      </c>
      <c r="BF12">
        <f>IF(BF5&lt;=Assumptions!$C$13,Assumptions!$C$12/Assumptions!$C$13,0)</f>
        <v/>
      </c>
      <c r="BG12">
        <f>IF(BG5&lt;=Assumptions!$C$13,Assumptions!$C$12/Assumptions!$C$13,0)</f>
        <v/>
      </c>
      <c r="BH12">
        <f>IF(BH5&lt;=Assumptions!$C$13,Assumptions!$C$12/Assumptions!$C$13,0)</f>
        <v/>
      </c>
      <c r="BI12">
        <f>IF(BI5&lt;=Assumptions!$C$13,Assumptions!$C$12/Assumptions!$C$13,0)</f>
        <v/>
      </c>
      <c r="BJ12">
        <f>IF(BJ5&lt;=Assumptions!$C$13,Assumptions!$C$12/Assumptions!$C$13,0)</f>
        <v/>
      </c>
      <c r="BK12">
        <f>IF(BK5&lt;=Assumptions!$C$13,Assumptions!$C$12/Assumptions!$C$13,0)</f>
        <v/>
      </c>
      <c r="BL12">
        <f>IF(BL5&lt;=Assumptions!$C$13,Assumptions!$C$12/Assumptions!$C$13,0)</f>
        <v/>
      </c>
      <c r="BM12">
        <f>IF(BM5&lt;=Assumptions!$C$13,Assumptions!$C$12/Assumptions!$C$13,0)</f>
        <v/>
      </c>
      <c r="BN12">
        <f>IF(BN5&lt;=Assumptions!$C$13,Assumptions!$C$12/Assumptions!$C$13,0)</f>
        <v/>
      </c>
      <c r="BO12">
        <f>IF(BO5&lt;=Assumptions!$C$13,Assumptions!$C$12/Assumptions!$C$13,0)</f>
        <v/>
      </c>
      <c r="BP12">
        <f>IF(BP5&lt;=Assumptions!$C$13,Assumptions!$C$12/Assumptions!$C$13,0)</f>
        <v/>
      </c>
      <c r="BQ12">
        <f>IF(BQ5&lt;=Assumptions!$C$13,Assumptions!$C$12/Assumptions!$C$13,0)</f>
        <v/>
      </c>
      <c r="BR12">
        <f>IF(BR5&lt;=Assumptions!$C$13,Assumptions!$C$12/Assumptions!$C$13,0)</f>
        <v/>
      </c>
      <c r="BS12">
        <f>IF(BS5&lt;=Assumptions!$C$13,Assumptions!$C$12/Assumptions!$C$13,0)</f>
        <v/>
      </c>
      <c r="BT12">
        <f>IF(BT5&lt;=Assumptions!$C$13,Assumptions!$C$12/Assumptions!$C$13,0)</f>
        <v/>
      </c>
      <c r="BU12">
        <f>IF(BU5&lt;=Assumptions!$C$13,Assumptions!$C$12/Assumptions!$C$13,0)</f>
        <v/>
      </c>
      <c r="BV12">
        <f>IF(BV5&lt;=Assumptions!$C$13,Assumptions!$C$12/Assumptions!$C$13,0)</f>
        <v/>
      </c>
      <c r="BW12">
        <f>IF(BW5&lt;=Assumptions!$C$13,Assumptions!$C$12/Assumptions!$C$13,0)</f>
        <v/>
      </c>
      <c r="BX12">
        <f>IF(BX5&lt;=Assumptions!$C$13,Assumptions!$C$12/Assumptions!$C$13,0)</f>
        <v/>
      </c>
      <c r="BY12">
        <f>IF(BY5&lt;=Assumptions!$C$13,Assumptions!$C$12/Assumptions!$C$13,0)</f>
        <v/>
      </c>
      <c r="BZ12">
        <f>IF(BZ5&lt;=Assumptions!$C$13,Assumptions!$C$12/Assumptions!$C$13,0)</f>
        <v/>
      </c>
      <c r="CA12">
        <f>IF(CA5&lt;=Assumptions!$C$13,Assumptions!$C$12/Assumptions!$C$13,0)</f>
        <v/>
      </c>
      <c r="CB12">
        <f>IF(CB5&lt;=Assumptions!$C$13,Assumptions!$C$12/Assumptions!$C$13,0)</f>
        <v/>
      </c>
      <c r="CC12">
        <f>IF(CC5&lt;=Assumptions!$C$13,Assumptions!$C$12/Assumptions!$C$13,0)</f>
        <v/>
      </c>
      <c r="CD12">
        <f>IF(CD5&lt;=Assumptions!$C$13,Assumptions!$C$12/Assumptions!$C$13,0)</f>
        <v/>
      </c>
      <c r="CE12">
        <f>IF(CE5&lt;=Assumptions!$C$13,Assumptions!$C$12/Assumptions!$C$13,0)</f>
        <v/>
      </c>
      <c r="CF12">
        <f>IF(CF5&lt;=Assumptions!$C$13,Assumptions!$C$12/Assumptions!$C$13,0)</f>
        <v/>
      </c>
      <c r="CG12">
        <f>IF(CG5&lt;=Assumptions!$C$13,Assumptions!$C$12/Assumptions!$C$13,0)</f>
        <v/>
      </c>
      <c r="CH12">
        <f>IF(CH5&lt;=Assumptions!$C$13,Assumptions!$C$12/Assumptions!$C$13,0)</f>
        <v/>
      </c>
    </row>
    <row r="13">
      <c r="B13" t="inlineStr">
        <is>
          <t xml:space="preserve">  Organic new</t>
        </is>
      </c>
      <c r="C13">
        <f>C11*C8</f>
        <v/>
      </c>
      <c r="D13">
        <f>D11*D8</f>
        <v/>
      </c>
      <c r="E13">
        <f>E11*E8</f>
        <v/>
      </c>
      <c r="F13">
        <f>F11*F8</f>
        <v/>
      </c>
      <c r="G13">
        <f>G11*G8</f>
        <v/>
      </c>
      <c r="H13">
        <f>H11*H8</f>
        <v/>
      </c>
      <c r="I13">
        <f>I11*I8</f>
        <v/>
      </c>
      <c r="J13">
        <f>J11*J8</f>
        <v/>
      </c>
      <c r="K13">
        <f>K11*K8</f>
        <v/>
      </c>
      <c r="L13">
        <f>L11*L8</f>
        <v/>
      </c>
      <c r="M13">
        <f>M11*M8</f>
        <v/>
      </c>
      <c r="N13">
        <f>N11*N8</f>
        <v/>
      </c>
      <c r="O13">
        <f>O11*O8</f>
        <v/>
      </c>
      <c r="P13">
        <f>P11*P8</f>
        <v/>
      </c>
      <c r="Q13">
        <f>Q11*Q8</f>
        <v/>
      </c>
      <c r="R13">
        <f>R11*R8</f>
        <v/>
      </c>
      <c r="S13">
        <f>S11*S8</f>
        <v/>
      </c>
      <c r="T13">
        <f>T11*T8</f>
        <v/>
      </c>
      <c r="U13">
        <f>U11*U8</f>
        <v/>
      </c>
      <c r="V13">
        <f>V11*V8</f>
        <v/>
      </c>
      <c r="W13">
        <f>W11*W8</f>
        <v/>
      </c>
      <c r="X13">
        <f>X11*X8</f>
        <v/>
      </c>
      <c r="Y13">
        <f>Y11*Y8</f>
        <v/>
      </c>
      <c r="Z13">
        <f>Z11*Z8</f>
        <v/>
      </c>
      <c r="AA13">
        <f>AA11*AA8</f>
        <v/>
      </c>
      <c r="AB13">
        <f>AB11*AB8</f>
        <v/>
      </c>
      <c r="AC13">
        <f>AC11*AC8</f>
        <v/>
      </c>
      <c r="AD13">
        <f>AD11*AD8</f>
        <v/>
      </c>
      <c r="AE13">
        <f>AE11*AE8</f>
        <v/>
      </c>
      <c r="AF13">
        <f>AF11*AF8</f>
        <v/>
      </c>
      <c r="AG13">
        <f>AG11*AG8</f>
        <v/>
      </c>
      <c r="AH13">
        <f>AH11*AH8</f>
        <v/>
      </c>
      <c r="AI13">
        <f>AI11*AI8</f>
        <v/>
      </c>
      <c r="AJ13">
        <f>AJ11*AJ8</f>
        <v/>
      </c>
      <c r="AK13">
        <f>AK11*AK8</f>
        <v/>
      </c>
      <c r="AL13">
        <f>AL11*AL8</f>
        <v/>
      </c>
      <c r="AM13">
        <f>AM11*AM8</f>
        <v/>
      </c>
      <c r="AN13">
        <f>AN11*AN8</f>
        <v/>
      </c>
      <c r="AO13">
        <f>AO11*AO8</f>
        <v/>
      </c>
      <c r="AP13">
        <f>AP11*AP8</f>
        <v/>
      </c>
      <c r="AQ13">
        <f>AQ11*AQ8</f>
        <v/>
      </c>
      <c r="AR13">
        <f>AR11*AR8</f>
        <v/>
      </c>
      <c r="AS13">
        <f>AS11*AS8</f>
        <v/>
      </c>
      <c r="AT13">
        <f>AT11*AT8</f>
        <v/>
      </c>
      <c r="AU13">
        <f>AU11*AU8</f>
        <v/>
      </c>
      <c r="AV13">
        <f>AV11*AV8</f>
        <v/>
      </c>
      <c r="AW13">
        <f>AW11*AW8</f>
        <v/>
      </c>
      <c r="AX13">
        <f>AX11*AX8</f>
        <v/>
      </c>
      <c r="AY13">
        <f>AY11*AY8</f>
        <v/>
      </c>
      <c r="AZ13">
        <f>AZ11*AZ8</f>
        <v/>
      </c>
      <c r="BA13">
        <f>BA11*BA8</f>
        <v/>
      </c>
      <c r="BB13">
        <f>BB11*BB8</f>
        <v/>
      </c>
      <c r="BC13">
        <f>BC11*BC8</f>
        <v/>
      </c>
      <c r="BD13">
        <f>BD11*BD8</f>
        <v/>
      </c>
      <c r="BE13">
        <f>BE11*BE8</f>
        <v/>
      </c>
      <c r="BF13">
        <f>BF11*BF8</f>
        <v/>
      </c>
      <c r="BG13">
        <f>BG11*BG8</f>
        <v/>
      </c>
      <c r="BH13">
        <f>BH11*BH8</f>
        <v/>
      </c>
      <c r="BI13">
        <f>BI11*BI8</f>
        <v/>
      </c>
      <c r="BJ13">
        <f>BJ11*BJ8</f>
        <v/>
      </c>
      <c r="BK13">
        <f>BK11*BK8</f>
        <v/>
      </c>
      <c r="BL13">
        <f>BL11*BL8</f>
        <v/>
      </c>
      <c r="BM13">
        <f>BM11*BM8</f>
        <v/>
      </c>
      <c r="BN13">
        <f>BN11*BN8</f>
        <v/>
      </c>
      <c r="BO13">
        <f>BO11*BO8</f>
        <v/>
      </c>
      <c r="BP13">
        <f>BP11*BP8</f>
        <v/>
      </c>
      <c r="BQ13">
        <f>BQ11*BQ8</f>
        <v/>
      </c>
      <c r="BR13">
        <f>BR11*BR8</f>
        <v/>
      </c>
      <c r="BS13">
        <f>BS11*BS8</f>
        <v/>
      </c>
      <c r="BT13">
        <f>BT11*BT8</f>
        <v/>
      </c>
      <c r="BU13">
        <f>BU11*BU8</f>
        <v/>
      </c>
      <c r="BV13">
        <f>BV11*BV8</f>
        <v/>
      </c>
      <c r="BW13">
        <f>BW11*BW8</f>
        <v/>
      </c>
      <c r="BX13">
        <f>BX11*BX8</f>
        <v/>
      </c>
      <c r="BY13">
        <f>BY11*BY8</f>
        <v/>
      </c>
      <c r="BZ13">
        <f>BZ11*BZ8</f>
        <v/>
      </c>
      <c r="CA13">
        <f>CA11*CA8</f>
        <v/>
      </c>
      <c r="CB13">
        <f>CB11*CB8</f>
        <v/>
      </c>
      <c r="CC13">
        <f>CC11*CC8</f>
        <v/>
      </c>
      <c r="CD13">
        <f>CD11*CD8</f>
        <v/>
      </c>
      <c r="CE13">
        <f>CE11*CE8</f>
        <v/>
      </c>
      <c r="CF13">
        <f>CF11*CF8</f>
        <v/>
      </c>
      <c r="CG13">
        <f>CG11*CG8</f>
        <v/>
      </c>
      <c r="CH13">
        <f>CH11*CH8</f>
        <v/>
      </c>
    </row>
    <row r="14">
      <c r="B14" t="inlineStr">
        <is>
          <t xml:space="preserve">  Churned</t>
        </is>
      </c>
      <c r="C14">
        <f>-C11*Assumptions!$C$18</f>
        <v/>
      </c>
      <c r="D14">
        <f>-D11*Assumptions!$C$18</f>
        <v/>
      </c>
      <c r="E14">
        <f>-E11*Assumptions!$C$18</f>
        <v/>
      </c>
      <c r="F14">
        <f>-F11*Assumptions!$C$18</f>
        <v/>
      </c>
      <c r="G14">
        <f>-G11*Assumptions!$C$18</f>
        <v/>
      </c>
      <c r="H14">
        <f>-H11*Assumptions!$C$18</f>
        <v/>
      </c>
      <c r="I14">
        <f>-I11*Assumptions!$C$18</f>
        <v/>
      </c>
      <c r="J14">
        <f>-J11*Assumptions!$C$18</f>
        <v/>
      </c>
      <c r="K14">
        <f>-K11*Assumptions!$C$18</f>
        <v/>
      </c>
      <c r="L14">
        <f>-L11*Assumptions!$C$18</f>
        <v/>
      </c>
      <c r="M14">
        <f>-M11*Assumptions!$C$18</f>
        <v/>
      </c>
      <c r="N14">
        <f>-N11*Assumptions!$C$18</f>
        <v/>
      </c>
      <c r="O14">
        <f>-O11*Assumptions!$C$18</f>
        <v/>
      </c>
      <c r="P14">
        <f>-P11*Assumptions!$C$18</f>
        <v/>
      </c>
      <c r="Q14">
        <f>-Q11*Assumptions!$C$18</f>
        <v/>
      </c>
      <c r="R14">
        <f>-R11*Assumptions!$C$18</f>
        <v/>
      </c>
      <c r="S14">
        <f>-S11*Assumptions!$C$18</f>
        <v/>
      </c>
      <c r="T14">
        <f>-T11*Assumptions!$C$18</f>
        <v/>
      </c>
      <c r="U14">
        <f>-U11*Assumptions!$C$18</f>
        <v/>
      </c>
      <c r="V14">
        <f>-V11*Assumptions!$C$18</f>
        <v/>
      </c>
      <c r="W14">
        <f>-W11*Assumptions!$C$18</f>
        <v/>
      </c>
      <c r="X14">
        <f>-X11*Assumptions!$C$18</f>
        <v/>
      </c>
      <c r="Y14">
        <f>-Y11*Assumptions!$C$18</f>
        <v/>
      </c>
      <c r="Z14">
        <f>-Z11*Assumptions!$C$18</f>
        <v/>
      </c>
      <c r="AA14">
        <f>-AA11*Assumptions!$C$18</f>
        <v/>
      </c>
      <c r="AB14">
        <f>-AB11*Assumptions!$C$18</f>
        <v/>
      </c>
      <c r="AC14">
        <f>-AC11*Assumptions!$C$18</f>
        <v/>
      </c>
      <c r="AD14">
        <f>-AD11*Assumptions!$C$18</f>
        <v/>
      </c>
      <c r="AE14">
        <f>-AE11*Assumptions!$C$18</f>
        <v/>
      </c>
      <c r="AF14">
        <f>-AF11*Assumptions!$C$18</f>
        <v/>
      </c>
      <c r="AG14">
        <f>-AG11*Assumptions!$C$18</f>
        <v/>
      </c>
      <c r="AH14">
        <f>-AH11*Assumptions!$C$18</f>
        <v/>
      </c>
      <c r="AI14">
        <f>-AI11*Assumptions!$C$18</f>
        <v/>
      </c>
      <c r="AJ14">
        <f>-AJ11*Assumptions!$C$18</f>
        <v/>
      </c>
      <c r="AK14">
        <f>-AK11*Assumptions!$C$18</f>
        <v/>
      </c>
      <c r="AL14">
        <f>-AL11*Assumptions!$C$18</f>
        <v/>
      </c>
      <c r="AM14">
        <f>-AM11*Assumptions!$C$18</f>
        <v/>
      </c>
      <c r="AN14">
        <f>-AN11*Assumptions!$C$18</f>
        <v/>
      </c>
      <c r="AO14">
        <f>-AO11*Assumptions!$C$18</f>
        <v/>
      </c>
      <c r="AP14">
        <f>-AP11*Assumptions!$C$18</f>
        <v/>
      </c>
      <c r="AQ14">
        <f>-AQ11*Assumptions!$C$18</f>
        <v/>
      </c>
      <c r="AR14">
        <f>-AR11*Assumptions!$C$18</f>
        <v/>
      </c>
      <c r="AS14">
        <f>-AS11*Assumptions!$C$18</f>
        <v/>
      </c>
      <c r="AT14">
        <f>-AT11*Assumptions!$C$18</f>
        <v/>
      </c>
      <c r="AU14">
        <f>-AU11*Assumptions!$C$18</f>
        <v/>
      </c>
      <c r="AV14">
        <f>-AV11*Assumptions!$C$18</f>
        <v/>
      </c>
      <c r="AW14">
        <f>-AW11*Assumptions!$C$18</f>
        <v/>
      </c>
      <c r="AX14">
        <f>-AX11*Assumptions!$C$18</f>
        <v/>
      </c>
      <c r="AY14">
        <f>-AY11*Assumptions!$C$18</f>
        <v/>
      </c>
      <c r="AZ14">
        <f>-AZ11*Assumptions!$C$18</f>
        <v/>
      </c>
      <c r="BA14">
        <f>-BA11*Assumptions!$C$18</f>
        <v/>
      </c>
      <c r="BB14">
        <f>-BB11*Assumptions!$C$18</f>
        <v/>
      </c>
      <c r="BC14">
        <f>-BC11*Assumptions!$C$18</f>
        <v/>
      </c>
      <c r="BD14">
        <f>-BD11*Assumptions!$C$18</f>
        <v/>
      </c>
      <c r="BE14">
        <f>-BE11*Assumptions!$C$18</f>
        <v/>
      </c>
      <c r="BF14">
        <f>-BF11*Assumptions!$C$18</f>
        <v/>
      </c>
      <c r="BG14">
        <f>-BG11*Assumptions!$C$18</f>
        <v/>
      </c>
      <c r="BH14">
        <f>-BH11*Assumptions!$C$18</f>
        <v/>
      </c>
      <c r="BI14">
        <f>-BI11*Assumptions!$C$18</f>
        <v/>
      </c>
      <c r="BJ14">
        <f>-BJ11*Assumptions!$C$18</f>
        <v/>
      </c>
      <c r="BK14">
        <f>-BK11*Assumptions!$C$18</f>
        <v/>
      </c>
      <c r="BL14">
        <f>-BL11*Assumptions!$C$18</f>
        <v/>
      </c>
      <c r="BM14">
        <f>-BM11*Assumptions!$C$18</f>
        <v/>
      </c>
      <c r="BN14">
        <f>-BN11*Assumptions!$C$18</f>
        <v/>
      </c>
      <c r="BO14">
        <f>-BO11*Assumptions!$C$18</f>
        <v/>
      </c>
      <c r="BP14">
        <f>-BP11*Assumptions!$C$18</f>
        <v/>
      </c>
      <c r="BQ14">
        <f>-BQ11*Assumptions!$C$18</f>
        <v/>
      </c>
      <c r="BR14">
        <f>-BR11*Assumptions!$C$18</f>
        <v/>
      </c>
      <c r="BS14">
        <f>-BS11*Assumptions!$C$18</f>
        <v/>
      </c>
      <c r="BT14">
        <f>-BT11*Assumptions!$C$18</f>
        <v/>
      </c>
      <c r="BU14">
        <f>-BU11*Assumptions!$C$18</f>
        <v/>
      </c>
      <c r="BV14">
        <f>-BV11*Assumptions!$C$18</f>
        <v/>
      </c>
      <c r="BW14">
        <f>-BW11*Assumptions!$C$18</f>
        <v/>
      </c>
      <c r="BX14">
        <f>-BX11*Assumptions!$C$18</f>
        <v/>
      </c>
      <c r="BY14">
        <f>-BY11*Assumptions!$C$18</f>
        <v/>
      </c>
      <c r="BZ14">
        <f>-BZ11*Assumptions!$C$18</f>
        <v/>
      </c>
      <c r="CA14">
        <f>-CA11*Assumptions!$C$18</f>
        <v/>
      </c>
      <c r="CB14">
        <f>-CB11*Assumptions!$C$18</f>
        <v/>
      </c>
      <c r="CC14">
        <f>-CC11*Assumptions!$C$18</f>
        <v/>
      </c>
      <c r="CD14">
        <f>-CD11*Assumptions!$C$18</f>
        <v/>
      </c>
      <c r="CE14">
        <f>-CE11*Assumptions!$C$18</f>
        <v/>
      </c>
      <c r="CF14">
        <f>-CF11*Assumptions!$C$18</f>
        <v/>
      </c>
      <c r="CG14">
        <f>-CG11*Assumptions!$C$18</f>
        <v/>
      </c>
      <c r="CH14">
        <f>-CH11*Assumptions!$C$18</f>
        <v/>
      </c>
    </row>
    <row r="15">
      <c r="B15" t="inlineStr">
        <is>
          <t>Closing members</t>
        </is>
      </c>
      <c r="C15">
        <f>C11+C12+C13+C14</f>
        <v/>
      </c>
      <c r="D15">
        <f>D11+D12+D13+D14</f>
        <v/>
      </c>
      <c r="E15">
        <f>E11+E12+E13+E14</f>
        <v/>
      </c>
      <c r="F15">
        <f>F11+F12+F13+F14</f>
        <v/>
      </c>
      <c r="G15">
        <f>G11+G12+G13+G14</f>
        <v/>
      </c>
      <c r="H15">
        <f>H11+H12+H13+H14</f>
        <v/>
      </c>
      <c r="I15">
        <f>I11+I12+I13+I14</f>
        <v/>
      </c>
      <c r="J15">
        <f>J11+J12+J13+J14</f>
        <v/>
      </c>
      <c r="K15">
        <f>K11+K12+K13+K14</f>
        <v/>
      </c>
      <c r="L15">
        <f>L11+L12+L13+L14</f>
        <v/>
      </c>
      <c r="M15">
        <f>M11+M12+M13+M14</f>
        <v/>
      </c>
      <c r="N15">
        <f>N11+N12+N13+N14</f>
        <v/>
      </c>
      <c r="O15">
        <f>O11+O12+O13+O14</f>
        <v/>
      </c>
      <c r="P15">
        <f>P11+P12+P13+P14</f>
        <v/>
      </c>
      <c r="Q15">
        <f>Q11+Q12+Q13+Q14</f>
        <v/>
      </c>
      <c r="R15">
        <f>R11+R12+R13+R14</f>
        <v/>
      </c>
      <c r="S15">
        <f>S11+S12+S13+S14</f>
        <v/>
      </c>
      <c r="T15">
        <f>T11+T12+T13+T14</f>
        <v/>
      </c>
      <c r="U15">
        <f>U11+U12+U13+U14</f>
        <v/>
      </c>
      <c r="V15">
        <f>V11+V12+V13+V14</f>
        <v/>
      </c>
      <c r="W15">
        <f>W11+W12+W13+W14</f>
        <v/>
      </c>
      <c r="X15">
        <f>X11+X12+X13+X14</f>
        <v/>
      </c>
      <c r="Y15">
        <f>Y11+Y12+Y13+Y14</f>
        <v/>
      </c>
      <c r="Z15">
        <f>Z11+Z12+Z13+Z14</f>
        <v/>
      </c>
      <c r="AA15">
        <f>AA11+AA12+AA13+AA14</f>
        <v/>
      </c>
      <c r="AB15">
        <f>AB11+AB12+AB13+AB14</f>
        <v/>
      </c>
      <c r="AC15">
        <f>AC11+AC12+AC13+AC14</f>
        <v/>
      </c>
      <c r="AD15">
        <f>AD11+AD12+AD13+AD14</f>
        <v/>
      </c>
      <c r="AE15">
        <f>AE11+AE12+AE13+AE14</f>
        <v/>
      </c>
      <c r="AF15">
        <f>AF11+AF12+AF13+AF14</f>
        <v/>
      </c>
      <c r="AG15">
        <f>AG11+AG12+AG13+AG14</f>
        <v/>
      </c>
      <c r="AH15">
        <f>AH11+AH12+AH13+AH14</f>
        <v/>
      </c>
      <c r="AI15">
        <f>AI11+AI12+AI13+AI14</f>
        <v/>
      </c>
      <c r="AJ15">
        <f>AJ11+AJ12+AJ13+AJ14</f>
        <v/>
      </c>
      <c r="AK15">
        <f>AK11+AK12+AK13+AK14</f>
        <v/>
      </c>
      <c r="AL15">
        <f>AL11+AL12+AL13+AL14</f>
        <v/>
      </c>
      <c r="AM15">
        <f>AM11+AM12+AM13+AM14</f>
        <v/>
      </c>
      <c r="AN15">
        <f>AN11+AN12+AN13+AN14</f>
        <v/>
      </c>
      <c r="AO15">
        <f>AO11+AO12+AO13+AO14</f>
        <v/>
      </c>
      <c r="AP15">
        <f>AP11+AP12+AP13+AP14</f>
        <v/>
      </c>
      <c r="AQ15">
        <f>AQ11+AQ12+AQ13+AQ14</f>
        <v/>
      </c>
      <c r="AR15">
        <f>AR11+AR12+AR13+AR14</f>
        <v/>
      </c>
      <c r="AS15">
        <f>AS11+AS12+AS13+AS14</f>
        <v/>
      </c>
      <c r="AT15">
        <f>AT11+AT12+AT13+AT14</f>
        <v/>
      </c>
      <c r="AU15">
        <f>AU11+AU12+AU13+AU14</f>
        <v/>
      </c>
      <c r="AV15">
        <f>AV11+AV12+AV13+AV14</f>
        <v/>
      </c>
      <c r="AW15">
        <f>AW11+AW12+AW13+AW14</f>
        <v/>
      </c>
      <c r="AX15">
        <f>AX11+AX12+AX13+AX14</f>
        <v/>
      </c>
      <c r="AY15">
        <f>AY11+AY12+AY13+AY14</f>
        <v/>
      </c>
      <c r="AZ15">
        <f>AZ11+AZ12+AZ13+AZ14</f>
        <v/>
      </c>
      <c r="BA15">
        <f>BA11+BA12+BA13+BA14</f>
        <v/>
      </c>
      <c r="BB15">
        <f>BB11+BB12+BB13+BB14</f>
        <v/>
      </c>
      <c r="BC15">
        <f>BC11+BC12+BC13+BC14</f>
        <v/>
      </c>
      <c r="BD15">
        <f>BD11+BD12+BD13+BD14</f>
        <v/>
      </c>
      <c r="BE15">
        <f>BE11+BE12+BE13+BE14</f>
        <v/>
      </c>
      <c r="BF15">
        <f>BF11+BF12+BF13+BF14</f>
        <v/>
      </c>
      <c r="BG15">
        <f>BG11+BG12+BG13+BG14</f>
        <v/>
      </c>
      <c r="BH15">
        <f>BH11+BH12+BH13+BH14</f>
        <v/>
      </c>
      <c r="BI15">
        <f>BI11+BI12+BI13+BI14</f>
        <v/>
      </c>
      <c r="BJ15">
        <f>BJ11+BJ12+BJ13+BJ14</f>
        <v/>
      </c>
      <c r="BK15">
        <f>BK11+BK12+BK13+BK14</f>
        <v/>
      </c>
      <c r="BL15">
        <f>BL11+BL12+BL13+BL14</f>
        <v/>
      </c>
      <c r="BM15">
        <f>BM11+BM12+BM13+BM14</f>
        <v/>
      </c>
      <c r="BN15">
        <f>BN11+BN12+BN13+BN14</f>
        <v/>
      </c>
      <c r="BO15">
        <f>BO11+BO12+BO13+BO14</f>
        <v/>
      </c>
      <c r="BP15">
        <f>BP11+BP12+BP13+BP14</f>
        <v/>
      </c>
      <c r="BQ15">
        <f>BQ11+BQ12+BQ13+BQ14</f>
        <v/>
      </c>
      <c r="BR15">
        <f>BR11+BR12+BR13+BR14</f>
        <v/>
      </c>
      <c r="BS15">
        <f>BS11+BS12+BS13+BS14</f>
        <v/>
      </c>
      <c r="BT15">
        <f>BT11+BT12+BT13+BT14</f>
        <v/>
      </c>
      <c r="BU15">
        <f>BU11+BU12+BU13+BU14</f>
        <v/>
      </c>
      <c r="BV15">
        <f>BV11+BV12+BV13+BV14</f>
        <v/>
      </c>
      <c r="BW15">
        <f>BW11+BW12+BW13+BW14</f>
        <v/>
      </c>
      <c r="BX15">
        <f>BX11+BX12+BX13+BX14</f>
        <v/>
      </c>
      <c r="BY15">
        <f>BY11+BY12+BY13+BY14</f>
        <v/>
      </c>
      <c r="BZ15">
        <f>BZ11+BZ12+BZ13+BZ14</f>
        <v/>
      </c>
      <c r="CA15">
        <f>CA11+CA12+CA13+CA14</f>
        <v/>
      </c>
      <c r="CB15">
        <f>CB11+CB12+CB13+CB14</f>
        <v/>
      </c>
      <c r="CC15">
        <f>CC11+CC12+CC13+CC14</f>
        <v/>
      </c>
      <c r="CD15">
        <f>CD11+CD12+CD13+CD14</f>
        <v/>
      </c>
      <c r="CE15">
        <f>CE11+CE12+CE13+CE14</f>
        <v/>
      </c>
      <c r="CF15">
        <f>CF11+CF12+CF13+CF14</f>
        <v/>
      </c>
      <c r="CG15">
        <f>CG11+CG12+CG13+CG14</f>
        <v/>
      </c>
      <c r="CH15">
        <f>CH11+CH12+CH13+CH14</f>
        <v/>
      </c>
    </row>
    <row r="16">
      <c r="B16" t="inlineStr">
        <is>
          <t>Average active members</t>
        </is>
      </c>
      <c r="C16">
        <f>AVERAGE(C11,C15)</f>
        <v/>
      </c>
      <c r="D16">
        <f>AVERAGE(D11,D15)</f>
        <v/>
      </c>
      <c r="E16">
        <f>AVERAGE(E11,E15)</f>
        <v/>
      </c>
      <c r="F16">
        <f>AVERAGE(F11,F15)</f>
        <v/>
      </c>
      <c r="G16">
        <f>AVERAGE(G11,G15)</f>
        <v/>
      </c>
      <c r="H16">
        <f>AVERAGE(H11,H15)</f>
        <v/>
      </c>
      <c r="I16">
        <f>AVERAGE(I11,I15)</f>
        <v/>
      </c>
      <c r="J16">
        <f>AVERAGE(J11,J15)</f>
        <v/>
      </c>
      <c r="K16">
        <f>AVERAGE(K11,K15)</f>
        <v/>
      </c>
      <c r="L16">
        <f>AVERAGE(L11,L15)</f>
        <v/>
      </c>
      <c r="M16">
        <f>AVERAGE(M11,M15)</f>
        <v/>
      </c>
      <c r="N16">
        <f>AVERAGE(N11,N15)</f>
        <v/>
      </c>
      <c r="O16">
        <f>AVERAGE(O11,O15)</f>
        <v/>
      </c>
      <c r="P16">
        <f>AVERAGE(P11,P15)</f>
        <v/>
      </c>
      <c r="Q16">
        <f>AVERAGE(Q11,Q15)</f>
        <v/>
      </c>
      <c r="R16">
        <f>AVERAGE(R11,R15)</f>
        <v/>
      </c>
      <c r="S16">
        <f>AVERAGE(S11,S15)</f>
        <v/>
      </c>
      <c r="T16">
        <f>AVERAGE(T11,T15)</f>
        <v/>
      </c>
      <c r="U16">
        <f>AVERAGE(U11,U15)</f>
        <v/>
      </c>
      <c r="V16">
        <f>AVERAGE(V11,V15)</f>
        <v/>
      </c>
      <c r="W16">
        <f>AVERAGE(W11,W15)</f>
        <v/>
      </c>
      <c r="X16">
        <f>AVERAGE(X11,X15)</f>
        <v/>
      </c>
      <c r="Y16">
        <f>AVERAGE(Y11,Y15)</f>
        <v/>
      </c>
      <c r="Z16">
        <f>AVERAGE(Z11,Z15)</f>
        <v/>
      </c>
      <c r="AA16">
        <f>AVERAGE(AA11,AA15)</f>
        <v/>
      </c>
      <c r="AB16">
        <f>AVERAGE(AB11,AB15)</f>
        <v/>
      </c>
      <c r="AC16">
        <f>AVERAGE(AC11,AC15)</f>
        <v/>
      </c>
      <c r="AD16">
        <f>AVERAGE(AD11,AD15)</f>
        <v/>
      </c>
      <c r="AE16">
        <f>AVERAGE(AE11,AE15)</f>
        <v/>
      </c>
      <c r="AF16">
        <f>AVERAGE(AF11,AF15)</f>
        <v/>
      </c>
      <c r="AG16">
        <f>AVERAGE(AG11,AG15)</f>
        <v/>
      </c>
      <c r="AH16">
        <f>AVERAGE(AH11,AH15)</f>
        <v/>
      </c>
      <c r="AI16">
        <f>AVERAGE(AI11,AI15)</f>
        <v/>
      </c>
      <c r="AJ16">
        <f>AVERAGE(AJ11,AJ15)</f>
        <v/>
      </c>
      <c r="AK16">
        <f>AVERAGE(AK11,AK15)</f>
        <v/>
      </c>
      <c r="AL16">
        <f>AVERAGE(AL11,AL15)</f>
        <v/>
      </c>
      <c r="AM16">
        <f>AVERAGE(AM11,AM15)</f>
        <v/>
      </c>
      <c r="AN16">
        <f>AVERAGE(AN11,AN15)</f>
        <v/>
      </c>
      <c r="AO16">
        <f>AVERAGE(AO11,AO15)</f>
        <v/>
      </c>
      <c r="AP16">
        <f>AVERAGE(AP11,AP15)</f>
        <v/>
      </c>
      <c r="AQ16">
        <f>AVERAGE(AQ11,AQ15)</f>
        <v/>
      </c>
      <c r="AR16">
        <f>AVERAGE(AR11,AR15)</f>
        <v/>
      </c>
      <c r="AS16">
        <f>AVERAGE(AS11,AS15)</f>
        <v/>
      </c>
      <c r="AT16">
        <f>AVERAGE(AT11,AT15)</f>
        <v/>
      </c>
      <c r="AU16">
        <f>AVERAGE(AU11,AU15)</f>
        <v/>
      </c>
      <c r="AV16">
        <f>AVERAGE(AV11,AV15)</f>
        <v/>
      </c>
      <c r="AW16">
        <f>AVERAGE(AW11,AW15)</f>
        <v/>
      </c>
      <c r="AX16">
        <f>AVERAGE(AX11,AX15)</f>
        <v/>
      </c>
      <c r="AY16">
        <f>AVERAGE(AY11,AY15)</f>
        <v/>
      </c>
      <c r="AZ16">
        <f>AVERAGE(AZ11,AZ15)</f>
        <v/>
      </c>
      <c r="BA16">
        <f>AVERAGE(BA11,BA15)</f>
        <v/>
      </c>
      <c r="BB16">
        <f>AVERAGE(BB11,BB15)</f>
        <v/>
      </c>
      <c r="BC16">
        <f>AVERAGE(BC11,BC15)</f>
        <v/>
      </c>
      <c r="BD16">
        <f>AVERAGE(BD11,BD15)</f>
        <v/>
      </c>
      <c r="BE16">
        <f>AVERAGE(BE11,BE15)</f>
        <v/>
      </c>
      <c r="BF16">
        <f>AVERAGE(BF11,BF15)</f>
        <v/>
      </c>
      <c r="BG16">
        <f>AVERAGE(BG11,BG15)</f>
        <v/>
      </c>
      <c r="BH16">
        <f>AVERAGE(BH11,BH15)</f>
        <v/>
      </c>
      <c r="BI16">
        <f>AVERAGE(BI11,BI15)</f>
        <v/>
      </c>
      <c r="BJ16">
        <f>AVERAGE(BJ11,BJ15)</f>
        <v/>
      </c>
      <c r="BK16">
        <f>AVERAGE(BK11,BK15)</f>
        <v/>
      </c>
      <c r="BL16">
        <f>AVERAGE(BL11,BL15)</f>
        <v/>
      </c>
      <c r="BM16">
        <f>AVERAGE(BM11,BM15)</f>
        <v/>
      </c>
      <c r="BN16">
        <f>AVERAGE(BN11,BN15)</f>
        <v/>
      </c>
      <c r="BO16">
        <f>AVERAGE(BO11,BO15)</f>
        <v/>
      </c>
      <c r="BP16">
        <f>AVERAGE(BP11,BP15)</f>
        <v/>
      </c>
      <c r="BQ16">
        <f>AVERAGE(BQ11,BQ15)</f>
        <v/>
      </c>
      <c r="BR16">
        <f>AVERAGE(BR11,BR15)</f>
        <v/>
      </c>
      <c r="BS16">
        <f>AVERAGE(BS11,BS15)</f>
        <v/>
      </c>
      <c r="BT16">
        <f>AVERAGE(BT11,BT15)</f>
        <v/>
      </c>
      <c r="BU16">
        <f>AVERAGE(BU11,BU15)</f>
        <v/>
      </c>
      <c r="BV16">
        <f>AVERAGE(BV11,BV15)</f>
        <v/>
      </c>
      <c r="BW16">
        <f>AVERAGE(BW11,BW15)</f>
        <v/>
      </c>
      <c r="BX16">
        <f>AVERAGE(BX11,BX15)</f>
        <v/>
      </c>
      <c r="BY16">
        <f>AVERAGE(BY11,BY15)</f>
        <v/>
      </c>
      <c r="BZ16">
        <f>AVERAGE(BZ11,BZ15)</f>
        <v/>
      </c>
      <c r="CA16">
        <f>AVERAGE(CA11,CA15)</f>
        <v/>
      </c>
      <c r="CB16">
        <f>AVERAGE(CB11,CB15)</f>
        <v/>
      </c>
      <c r="CC16">
        <f>AVERAGE(CC11,CC15)</f>
        <v/>
      </c>
      <c r="CD16">
        <f>AVERAGE(CD11,CD15)</f>
        <v/>
      </c>
      <c r="CE16">
        <f>AVERAGE(CE11,CE15)</f>
        <v/>
      </c>
      <c r="CF16">
        <f>AVERAGE(CF11,CF15)</f>
        <v/>
      </c>
      <c r="CG16">
        <f>AVERAGE(CG11,CG15)</f>
        <v/>
      </c>
      <c r="CH16">
        <f>AVERAGE(CH11,CH15)</f>
        <v/>
      </c>
    </row>
    <row r="18">
      <c r="B18" s="2" t="inlineStr">
        <is>
          <t>PAY-PER-PLAY</t>
        </is>
      </c>
    </row>
    <row r="19">
      <c r="B19" t="inlineStr">
        <is>
          <t>Par 3 attempts available</t>
        </is>
      </c>
      <c r="C19">
        <f>C16*Assumptions!$C$24</f>
        <v/>
      </c>
      <c r="D19">
        <f>D16*Assumptions!$C$24</f>
        <v/>
      </c>
      <c r="E19">
        <f>E16*Assumptions!$C$24</f>
        <v/>
      </c>
      <c r="F19">
        <f>F16*Assumptions!$C$24</f>
        <v/>
      </c>
      <c r="G19">
        <f>G16*Assumptions!$C$24</f>
        <v/>
      </c>
      <c r="H19">
        <f>H16*Assumptions!$C$24</f>
        <v/>
      </c>
      <c r="I19">
        <f>I16*Assumptions!$C$24</f>
        <v/>
      </c>
      <c r="J19">
        <f>J16*Assumptions!$C$24</f>
        <v/>
      </c>
      <c r="K19">
        <f>K16*Assumptions!$C$24</f>
        <v/>
      </c>
      <c r="L19">
        <f>L16*Assumptions!$C$24</f>
        <v/>
      </c>
      <c r="M19">
        <f>M16*Assumptions!$C$24</f>
        <v/>
      </c>
      <c r="N19">
        <f>N16*Assumptions!$C$24</f>
        <v/>
      </c>
      <c r="O19">
        <f>O16*Assumptions!$C$24</f>
        <v/>
      </c>
      <c r="P19">
        <f>P16*Assumptions!$C$24</f>
        <v/>
      </c>
      <c r="Q19">
        <f>Q16*Assumptions!$C$24</f>
        <v/>
      </c>
      <c r="R19">
        <f>R16*Assumptions!$C$24</f>
        <v/>
      </c>
      <c r="S19">
        <f>S16*Assumptions!$C$24</f>
        <v/>
      </c>
      <c r="T19">
        <f>T16*Assumptions!$C$24</f>
        <v/>
      </c>
      <c r="U19">
        <f>U16*Assumptions!$C$24</f>
        <v/>
      </c>
      <c r="V19">
        <f>V16*Assumptions!$C$24</f>
        <v/>
      </c>
      <c r="W19">
        <f>W16*Assumptions!$C$24</f>
        <v/>
      </c>
      <c r="X19">
        <f>X16*Assumptions!$C$24</f>
        <v/>
      </c>
      <c r="Y19">
        <f>Y16*Assumptions!$C$24</f>
        <v/>
      </c>
      <c r="Z19">
        <f>Z16*Assumptions!$C$24</f>
        <v/>
      </c>
      <c r="AA19">
        <f>AA16*Assumptions!$C$24</f>
        <v/>
      </c>
      <c r="AB19">
        <f>AB16*Assumptions!$C$24</f>
        <v/>
      </c>
      <c r="AC19">
        <f>AC16*Assumptions!$C$24</f>
        <v/>
      </c>
      <c r="AD19">
        <f>AD16*Assumptions!$C$24</f>
        <v/>
      </c>
      <c r="AE19">
        <f>AE16*Assumptions!$C$24</f>
        <v/>
      </c>
      <c r="AF19">
        <f>AF16*Assumptions!$C$24</f>
        <v/>
      </c>
      <c r="AG19">
        <f>AG16*Assumptions!$C$24</f>
        <v/>
      </c>
      <c r="AH19">
        <f>AH16*Assumptions!$C$24</f>
        <v/>
      </c>
      <c r="AI19">
        <f>AI16*Assumptions!$C$24</f>
        <v/>
      </c>
      <c r="AJ19">
        <f>AJ16*Assumptions!$C$24</f>
        <v/>
      </c>
      <c r="AK19">
        <f>AK16*Assumptions!$C$24</f>
        <v/>
      </c>
      <c r="AL19">
        <f>AL16*Assumptions!$C$24</f>
        <v/>
      </c>
      <c r="AM19">
        <f>AM16*Assumptions!$C$24</f>
        <v/>
      </c>
      <c r="AN19">
        <f>AN16*Assumptions!$C$24</f>
        <v/>
      </c>
      <c r="AO19">
        <f>AO16*Assumptions!$C$24</f>
        <v/>
      </c>
      <c r="AP19">
        <f>AP16*Assumptions!$C$24</f>
        <v/>
      </c>
      <c r="AQ19">
        <f>AQ16*Assumptions!$C$24</f>
        <v/>
      </c>
      <c r="AR19">
        <f>AR16*Assumptions!$C$24</f>
        <v/>
      </c>
      <c r="AS19">
        <f>AS16*Assumptions!$C$24</f>
        <v/>
      </c>
      <c r="AT19">
        <f>AT16*Assumptions!$C$24</f>
        <v/>
      </c>
      <c r="AU19">
        <f>AU16*Assumptions!$C$24</f>
        <v/>
      </c>
      <c r="AV19">
        <f>AV16*Assumptions!$C$24</f>
        <v/>
      </c>
      <c r="AW19">
        <f>AW16*Assumptions!$C$24</f>
        <v/>
      </c>
      <c r="AX19">
        <f>AX16*Assumptions!$C$24</f>
        <v/>
      </c>
      <c r="AY19">
        <f>AY16*Assumptions!$C$24</f>
        <v/>
      </c>
      <c r="AZ19">
        <f>AZ16*Assumptions!$C$24</f>
        <v/>
      </c>
      <c r="BA19">
        <f>BA16*Assumptions!$C$24</f>
        <v/>
      </c>
      <c r="BB19">
        <f>BB16*Assumptions!$C$24</f>
        <v/>
      </c>
      <c r="BC19">
        <f>BC16*Assumptions!$C$24</f>
        <v/>
      </c>
      <c r="BD19">
        <f>BD16*Assumptions!$C$24</f>
        <v/>
      </c>
      <c r="BE19">
        <f>BE16*Assumptions!$C$24</f>
        <v/>
      </c>
      <c r="BF19">
        <f>BF16*Assumptions!$C$24</f>
        <v/>
      </c>
      <c r="BG19">
        <f>BG16*Assumptions!$C$24</f>
        <v/>
      </c>
      <c r="BH19">
        <f>BH16*Assumptions!$C$24</f>
        <v/>
      </c>
      <c r="BI19">
        <f>BI16*Assumptions!$C$24</f>
        <v/>
      </c>
      <c r="BJ19">
        <f>BJ16*Assumptions!$C$24</f>
        <v/>
      </c>
      <c r="BK19">
        <f>BK16*Assumptions!$C$24</f>
        <v/>
      </c>
      <c r="BL19">
        <f>BL16*Assumptions!$C$24</f>
        <v/>
      </c>
      <c r="BM19">
        <f>BM16*Assumptions!$C$24</f>
        <v/>
      </c>
      <c r="BN19">
        <f>BN16*Assumptions!$C$24</f>
        <v/>
      </c>
      <c r="BO19">
        <f>BO16*Assumptions!$C$24</f>
        <v/>
      </c>
      <c r="BP19">
        <f>BP16*Assumptions!$C$24</f>
        <v/>
      </c>
      <c r="BQ19">
        <f>BQ16*Assumptions!$C$24</f>
        <v/>
      </c>
      <c r="BR19">
        <f>BR16*Assumptions!$C$24</f>
        <v/>
      </c>
      <c r="BS19">
        <f>BS16*Assumptions!$C$24</f>
        <v/>
      </c>
      <c r="BT19">
        <f>BT16*Assumptions!$C$24</f>
        <v/>
      </c>
      <c r="BU19">
        <f>BU16*Assumptions!$C$24</f>
        <v/>
      </c>
      <c r="BV19">
        <f>BV16*Assumptions!$C$24</f>
        <v/>
      </c>
      <c r="BW19">
        <f>BW16*Assumptions!$C$24</f>
        <v/>
      </c>
      <c r="BX19">
        <f>BX16*Assumptions!$C$24</f>
        <v/>
      </c>
      <c r="BY19">
        <f>BY16*Assumptions!$C$24</f>
        <v/>
      </c>
      <c r="BZ19">
        <f>BZ16*Assumptions!$C$24</f>
        <v/>
      </c>
      <c r="CA19">
        <f>CA16*Assumptions!$C$24</f>
        <v/>
      </c>
      <c r="CB19">
        <f>CB16*Assumptions!$C$24</f>
        <v/>
      </c>
      <c r="CC19">
        <f>CC16*Assumptions!$C$24</f>
        <v/>
      </c>
      <c r="CD19">
        <f>CD16*Assumptions!$C$24</f>
        <v/>
      </c>
      <c r="CE19">
        <f>CE16*Assumptions!$C$24</f>
        <v/>
      </c>
      <c r="CF19">
        <f>CF16*Assumptions!$C$24</f>
        <v/>
      </c>
      <c r="CG19">
        <f>CG16*Assumptions!$C$24</f>
        <v/>
      </c>
      <c r="CH19">
        <f>CH16*Assumptions!$C$24</f>
        <v/>
      </c>
    </row>
    <row r="20">
      <c r="B20" t="inlineStr">
        <is>
          <t>Paid entries</t>
        </is>
      </c>
      <c r="C20">
        <f>C19*Assumptions!$C$25</f>
        <v/>
      </c>
      <c r="D20">
        <f>D19*Assumptions!$C$25</f>
        <v/>
      </c>
      <c r="E20">
        <f>E19*Assumptions!$C$25</f>
        <v/>
      </c>
      <c r="F20">
        <f>F19*Assumptions!$C$25</f>
        <v/>
      </c>
      <c r="G20">
        <f>G19*Assumptions!$C$25</f>
        <v/>
      </c>
      <c r="H20">
        <f>H19*Assumptions!$C$25</f>
        <v/>
      </c>
      <c r="I20">
        <f>I19*Assumptions!$C$25</f>
        <v/>
      </c>
      <c r="J20">
        <f>J19*Assumptions!$C$25</f>
        <v/>
      </c>
      <c r="K20">
        <f>K19*Assumptions!$C$25</f>
        <v/>
      </c>
      <c r="L20">
        <f>L19*Assumptions!$C$25</f>
        <v/>
      </c>
      <c r="M20">
        <f>M19*Assumptions!$C$25</f>
        <v/>
      </c>
      <c r="N20">
        <f>N19*Assumptions!$C$25</f>
        <v/>
      </c>
      <c r="O20">
        <f>O19*Assumptions!$C$25</f>
        <v/>
      </c>
      <c r="P20">
        <f>P19*Assumptions!$C$25</f>
        <v/>
      </c>
      <c r="Q20">
        <f>Q19*Assumptions!$C$25</f>
        <v/>
      </c>
      <c r="R20">
        <f>R19*Assumptions!$C$25</f>
        <v/>
      </c>
      <c r="S20">
        <f>S19*Assumptions!$C$25</f>
        <v/>
      </c>
      <c r="T20">
        <f>T19*Assumptions!$C$25</f>
        <v/>
      </c>
      <c r="U20">
        <f>U19*Assumptions!$C$25</f>
        <v/>
      </c>
      <c r="V20">
        <f>V19*Assumptions!$C$25</f>
        <v/>
      </c>
      <c r="W20">
        <f>W19*Assumptions!$C$25</f>
        <v/>
      </c>
      <c r="X20">
        <f>X19*Assumptions!$C$25</f>
        <v/>
      </c>
      <c r="Y20">
        <f>Y19*Assumptions!$C$25</f>
        <v/>
      </c>
      <c r="Z20">
        <f>Z19*Assumptions!$C$25</f>
        <v/>
      </c>
      <c r="AA20">
        <f>AA19*Assumptions!$C$25</f>
        <v/>
      </c>
      <c r="AB20">
        <f>AB19*Assumptions!$C$25</f>
        <v/>
      </c>
      <c r="AC20">
        <f>AC19*Assumptions!$C$25</f>
        <v/>
      </c>
      <c r="AD20">
        <f>AD19*Assumptions!$C$25</f>
        <v/>
      </c>
      <c r="AE20">
        <f>AE19*Assumptions!$C$25</f>
        <v/>
      </c>
      <c r="AF20">
        <f>AF19*Assumptions!$C$25</f>
        <v/>
      </c>
      <c r="AG20">
        <f>AG19*Assumptions!$C$25</f>
        <v/>
      </c>
      <c r="AH20">
        <f>AH19*Assumptions!$C$25</f>
        <v/>
      </c>
      <c r="AI20">
        <f>AI19*Assumptions!$C$25</f>
        <v/>
      </c>
      <c r="AJ20">
        <f>AJ19*Assumptions!$C$25</f>
        <v/>
      </c>
      <c r="AK20">
        <f>AK19*Assumptions!$C$25</f>
        <v/>
      </c>
      <c r="AL20">
        <f>AL19*Assumptions!$C$25</f>
        <v/>
      </c>
      <c r="AM20">
        <f>AM19*Assumptions!$C$25</f>
        <v/>
      </c>
      <c r="AN20">
        <f>AN19*Assumptions!$C$25</f>
        <v/>
      </c>
      <c r="AO20">
        <f>AO19*Assumptions!$C$25</f>
        <v/>
      </c>
      <c r="AP20">
        <f>AP19*Assumptions!$C$25</f>
        <v/>
      </c>
      <c r="AQ20">
        <f>AQ19*Assumptions!$C$25</f>
        <v/>
      </c>
      <c r="AR20">
        <f>AR19*Assumptions!$C$25</f>
        <v/>
      </c>
      <c r="AS20">
        <f>AS19*Assumptions!$C$25</f>
        <v/>
      </c>
      <c r="AT20">
        <f>AT19*Assumptions!$C$25</f>
        <v/>
      </c>
      <c r="AU20">
        <f>AU19*Assumptions!$C$25</f>
        <v/>
      </c>
      <c r="AV20">
        <f>AV19*Assumptions!$C$25</f>
        <v/>
      </c>
      <c r="AW20">
        <f>AW19*Assumptions!$C$25</f>
        <v/>
      </c>
      <c r="AX20">
        <f>AX19*Assumptions!$C$25</f>
        <v/>
      </c>
      <c r="AY20">
        <f>AY19*Assumptions!$C$25</f>
        <v/>
      </c>
      <c r="AZ20">
        <f>AZ19*Assumptions!$C$25</f>
        <v/>
      </c>
      <c r="BA20">
        <f>BA19*Assumptions!$C$25</f>
        <v/>
      </c>
      <c r="BB20">
        <f>BB19*Assumptions!$C$25</f>
        <v/>
      </c>
      <c r="BC20">
        <f>BC19*Assumptions!$C$25</f>
        <v/>
      </c>
      <c r="BD20">
        <f>BD19*Assumptions!$C$25</f>
        <v/>
      </c>
      <c r="BE20">
        <f>BE19*Assumptions!$C$25</f>
        <v/>
      </c>
      <c r="BF20">
        <f>BF19*Assumptions!$C$25</f>
        <v/>
      </c>
      <c r="BG20">
        <f>BG19*Assumptions!$C$25</f>
        <v/>
      </c>
      <c r="BH20">
        <f>BH19*Assumptions!$C$25</f>
        <v/>
      </c>
      <c r="BI20">
        <f>BI19*Assumptions!$C$25</f>
        <v/>
      </c>
      <c r="BJ20">
        <f>BJ19*Assumptions!$C$25</f>
        <v/>
      </c>
      <c r="BK20">
        <f>BK19*Assumptions!$C$25</f>
        <v/>
      </c>
      <c r="BL20">
        <f>BL19*Assumptions!$C$25</f>
        <v/>
      </c>
      <c r="BM20">
        <f>BM19*Assumptions!$C$25</f>
        <v/>
      </c>
      <c r="BN20">
        <f>BN19*Assumptions!$C$25</f>
        <v/>
      </c>
      <c r="BO20">
        <f>BO19*Assumptions!$C$25</f>
        <v/>
      </c>
      <c r="BP20">
        <f>BP19*Assumptions!$C$25</f>
        <v/>
      </c>
      <c r="BQ20">
        <f>BQ19*Assumptions!$C$25</f>
        <v/>
      </c>
      <c r="BR20">
        <f>BR19*Assumptions!$C$25</f>
        <v/>
      </c>
      <c r="BS20">
        <f>BS19*Assumptions!$C$25</f>
        <v/>
      </c>
      <c r="BT20">
        <f>BT19*Assumptions!$C$25</f>
        <v/>
      </c>
      <c r="BU20">
        <f>BU19*Assumptions!$C$25</f>
        <v/>
      </c>
      <c r="BV20">
        <f>BV19*Assumptions!$C$25</f>
        <v/>
      </c>
      <c r="BW20">
        <f>BW19*Assumptions!$C$25</f>
        <v/>
      </c>
      <c r="BX20">
        <f>BX19*Assumptions!$C$25</f>
        <v/>
      </c>
      <c r="BY20">
        <f>BY19*Assumptions!$C$25</f>
        <v/>
      </c>
      <c r="BZ20">
        <f>BZ19*Assumptions!$C$25</f>
        <v/>
      </c>
      <c r="CA20">
        <f>CA19*Assumptions!$C$25</f>
        <v/>
      </c>
      <c r="CB20">
        <f>CB19*Assumptions!$C$25</f>
        <v/>
      </c>
      <c r="CC20">
        <f>CC19*Assumptions!$C$25</f>
        <v/>
      </c>
      <c r="CD20">
        <f>CD19*Assumptions!$C$25</f>
        <v/>
      </c>
      <c r="CE20">
        <f>CE19*Assumptions!$C$25</f>
        <v/>
      </c>
      <c r="CF20">
        <f>CF19*Assumptions!$C$25</f>
        <v/>
      </c>
      <c r="CG20">
        <f>CG19*Assumptions!$C$25</f>
        <v/>
      </c>
      <c r="CH20">
        <f>CH19*Assumptions!$C$25</f>
        <v/>
      </c>
    </row>
    <row r="21">
      <c r="B21" t="inlineStr">
        <is>
          <t>Gross entry value ($)</t>
        </is>
      </c>
      <c r="C21">
        <f>C20*Assumptions!$C$27</f>
        <v/>
      </c>
      <c r="D21">
        <f>D20*Assumptions!$C$27</f>
        <v/>
      </c>
      <c r="E21">
        <f>E20*Assumptions!$C$27</f>
        <v/>
      </c>
      <c r="F21">
        <f>F20*Assumptions!$C$27</f>
        <v/>
      </c>
      <c r="G21">
        <f>G20*Assumptions!$C$27</f>
        <v/>
      </c>
      <c r="H21">
        <f>H20*Assumptions!$C$27</f>
        <v/>
      </c>
      <c r="I21">
        <f>I20*Assumptions!$C$27</f>
        <v/>
      </c>
      <c r="J21">
        <f>J20*Assumptions!$C$27</f>
        <v/>
      </c>
      <c r="K21">
        <f>K20*Assumptions!$C$27</f>
        <v/>
      </c>
      <c r="L21">
        <f>L20*Assumptions!$C$27</f>
        <v/>
      </c>
      <c r="M21">
        <f>M20*Assumptions!$C$27</f>
        <v/>
      </c>
      <c r="N21">
        <f>N20*Assumptions!$C$27</f>
        <v/>
      </c>
      <c r="O21">
        <f>O20*Assumptions!$C$27</f>
        <v/>
      </c>
      <c r="P21">
        <f>P20*Assumptions!$C$27</f>
        <v/>
      </c>
      <c r="Q21">
        <f>Q20*Assumptions!$C$27</f>
        <v/>
      </c>
      <c r="R21">
        <f>R20*Assumptions!$C$27</f>
        <v/>
      </c>
      <c r="S21">
        <f>S20*Assumptions!$C$27</f>
        <v/>
      </c>
      <c r="T21">
        <f>T20*Assumptions!$C$27</f>
        <v/>
      </c>
      <c r="U21">
        <f>U20*Assumptions!$C$27</f>
        <v/>
      </c>
      <c r="V21">
        <f>V20*Assumptions!$C$27</f>
        <v/>
      </c>
      <c r="W21">
        <f>W20*Assumptions!$C$27</f>
        <v/>
      </c>
      <c r="X21">
        <f>X20*Assumptions!$C$27</f>
        <v/>
      </c>
      <c r="Y21">
        <f>Y20*Assumptions!$C$27</f>
        <v/>
      </c>
      <c r="Z21">
        <f>Z20*Assumptions!$C$27</f>
        <v/>
      </c>
      <c r="AA21">
        <f>AA20*Assumptions!$C$27</f>
        <v/>
      </c>
      <c r="AB21">
        <f>AB20*Assumptions!$C$27</f>
        <v/>
      </c>
      <c r="AC21">
        <f>AC20*Assumptions!$C$27</f>
        <v/>
      </c>
      <c r="AD21">
        <f>AD20*Assumptions!$C$27</f>
        <v/>
      </c>
      <c r="AE21">
        <f>AE20*Assumptions!$C$27</f>
        <v/>
      </c>
      <c r="AF21">
        <f>AF20*Assumptions!$C$27</f>
        <v/>
      </c>
      <c r="AG21">
        <f>AG20*Assumptions!$C$27</f>
        <v/>
      </c>
      <c r="AH21">
        <f>AH20*Assumptions!$C$27</f>
        <v/>
      </c>
      <c r="AI21">
        <f>AI20*Assumptions!$C$27</f>
        <v/>
      </c>
      <c r="AJ21">
        <f>AJ20*Assumptions!$C$27</f>
        <v/>
      </c>
      <c r="AK21">
        <f>AK20*Assumptions!$C$27</f>
        <v/>
      </c>
      <c r="AL21">
        <f>AL20*Assumptions!$C$27</f>
        <v/>
      </c>
      <c r="AM21">
        <f>AM20*Assumptions!$C$27</f>
        <v/>
      </c>
      <c r="AN21">
        <f>AN20*Assumptions!$C$27</f>
        <v/>
      </c>
      <c r="AO21">
        <f>AO20*Assumptions!$C$27</f>
        <v/>
      </c>
      <c r="AP21">
        <f>AP20*Assumptions!$C$27</f>
        <v/>
      </c>
      <c r="AQ21">
        <f>AQ20*Assumptions!$C$27</f>
        <v/>
      </c>
      <c r="AR21">
        <f>AR20*Assumptions!$C$27</f>
        <v/>
      </c>
      <c r="AS21">
        <f>AS20*Assumptions!$C$27</f>
        <v/>
      </c>
      <c r="AT21">
        <f>AT20*Assumptions!$C$27</f>
        <v/>
      </c>
      <c r="AU21">
        <f>AU20*Assumptions!$C$27</f>
        <v/>
      </c>
      <c r="AV21">
        <f>AV20*Assumptions!$C$27</f>
        <v/>
      </c>
      <c r="AW21">
        <f>AW20*Assumptions!$C$27</f>
        <v/>
      </c>
      <c r="AX21">
        <f>AX20*Assumptions!$C$27</f>
        <v/>
      </c>
      <c r="AY21">
        <f>AY20*Assumptions!$C$27</f>
        <v/>
      </c>
      <c r="AZ21">
        <f>AZ20*Assumptions!$C$27</f>
        <v/>
      </c>
      <c r="BA21">
        <f>BA20*Assumptions!$C$27</f>
        <v/>
      </c>
      <c r="BB21">
        <f>BB20*Assumptions!$C$27</f>
        <v/>
      </c>
      <c r="BC21">
        <f>BC20*Assumptions!$C$27</f>
        <v/>
      </c>
      <c r="BD21">
        <f>BD20*Assumptions!$C$27</f>
        <v/>
      </c>
      <c r="BE21">
        <f>BE20*Assumptions!$C$27</f>
        <v/>
      </c>
      <c r="BF21">
        <f>BF20*Assumptions!$C$27</f>
        <v/>
      </c>
      <c r="BG21">
        <f>BG20*Assumptions!$C$27</f>
        <v/>
      </c>
      <c r="BH21">
        <f>BH20*Assumptions!$C$27</f>
        <v/>
      </c>
      <c r="BI21">
        <f>BI20*Assumptions!$C$27</f>
        <v/>
      </c>
      <c r="BJ21">
        <f>BJ20*Assumptions!$C$27</f>
        <v/>
      </c>
      <c r="BK21">
        <f>BK20*Assumptions!$C$27</f>
        <v/>
      </c>
      <c r="BL21">
        <f>BL20*Assumptions!$C$27</f>
        <v/>
      </c>
      <c r="BM21">
        <f>BM20*Assumptions!$C$27</f>
        <v/>
      </c>
      <c r="BN21">
        <f>BN20*Assumptions!$C$27</f>
        <v/>
      </c>
      <c r="BO21">
        <f>BO20*Assumptions!$C$27</f>
        <v/>
      </c>
      <c r="BP21">
        <f>BP20*Assumptions!$C$27</f>
        <v/>
      </c>
      <c r="BQ21">
        <f>BQ20*Assumptions!$C$27</f>
        <v/>
      </c>
      <c r="BR21">
        <f>BR20*Assumptions!$C$27</f>
        <v/>
      </c>
      <c r="BS21">
        <f>BS20*Assumptions!$C$27</f>
        <v/>
      </c>
      <c r="BT21">
        <f>BT20*Assumptions!$C$27</f>
        <v/>
      </c>
      <c r="BU21">
        <f>BU20*Assumptions!$C$27</f>
        <v/>
      </c>
      <c r="BV21">
        <f>BV20*Assumptions!$C$27</f>
        <v/>
      </c>
      <c r="BW21">
        <f>BW20*Assumptions!$C$27</f>
        <v/>
      </c>
      <c r="BX21">
        <f>BX20*Assumptions!$C$27</f>
        <v/>
      </c>
      <c r="BY21">
        <f>BY20*Assumptions!$C$27</f>
        <v/>
      </c>
      <c r="BZ21">
        <f>BZ20*Assumptions!$C$27</f>
        <v/>
      </c>
      <c r="CA21">
        <f>CA20*Assumptions!$C$27</f>
        <v/>
      </c>
      <c r="CB21">
        <f>CB20*Assumptions!$C$27</f>
        <v/>
      </c>
      <c r="CC21">
        <f>CC20*Assumptions!$C$27</f>
        <v/>
      </c>
      <c r="CD21">
        <f>CD20*Assumptions!$C$27</f>
        <v/>
      </c>
      <c r="CE21">
        <f>CE20*Assumptions!$C$27</f>
        <v/>
      </c>
      <c r="CF21">
        <f>CF20*Assumptions!$C$27</f>
        <v/>
      </c>
      <c r="CG21">
        <f>CG20*Assumptions!$C$27</f>
        <v/>
      </c>
      <c r="CH21">
        <f>CH20*Assumptions!$C$27</f>
        <v/>
      </c>
    </row>
    <row r="22">
      <c r="B22" t="inlineStr">
        <is>
          <t xml:space="preserve">  Premium ceded to insurer ($)</t>
        </is>
      </c>
      <c r="C22">
        <f>C21*Assumptions!$C$28</f>
        <v/>
      </c>
      <c r="D22">
        <f>D21*Assumptions!$C$28</f>
        <v/>
      </c>
      <c r="E22">
        <f>E21*Assumptions!$C$28</f>
        <v/>
      </c>
      <c r="F22">
        <f>F21*Assumptions!$C$28</f>
        <v/>
      </c>
      <c r="G22">
        <f>G21*Assumptions!$C$28</f>
        <v/>
      </c>
      <c r="H22">
        <f>H21*Assumptions!$C$28</f>
        <v/>
      </c>
      <c r="I22">
        <f>I21*Assumptions!$C$28</f>
        <v/>
      </c>
      <c r="J22">
        <f>J21*Assumptions!$C$28</f>
        <v/>
      </c>
      <c r="K22">
        <f>K21*Assumptions!$C$28</f>
        <v/>
      </c>
      <c r="L22">
        <f>L21*Assumptions!$C$28</f>
        <v/>
      </c>
      <c r="M22">
        <f>M21*Assumptions!$C$28</f>
        <v/>
      </c>
      <c r="N22">
        <f>N21*Assumptions!$C$28</f>
        <v/>
      </c>
      <c r="O22">
        <f>O21*Assumptions!$C$28</f>
        <v/>
      </c>
      <c r="P22">
        <f>P21*Assumptions!$C$28</f>
        <v/>
      </c>
      <c r="Q22">
        <f>Q21*Assumptions!$C$28</f>
        <v/>
      </c>
      <c r="R22">
        <f>R21*Assumptions!$C$28</f>
        <v/>
      </c>
      <c r="S22">
        <f>S21*Assumptions!$C$28</f>
        <v/>
      </c>
      <c r="T22">
        <f>T21*Assumptions!$C$28</f>
        <v/>
      </c>
      <c r="U22">
        <f>U21*Assumptions!$C$28</f>
        <v/>
      </c>
      <c r="V22">
        <f>V21*Assumptions!$C$28</f>
        <v/>
      </c>
      <c r="W22">
        <f>W21*Assumptions!$C$28</f>
        <v/>
      </c>
      <c r="X22">
        <f>X21*Assumptions!$C$28</f>
        <v/>
      </c>
      <c r="Y22">
        <f>Y21*Assumptions!$C$28</f>
        <v/>
      </c>
      <c r="Z22">
        <f>Z21*Assumptions!$C$28</f>
        <v/>
      </c>
      <c r="AA22">
        <f>AA21*Assumptions!$C$28</f>
        <v/>
      </c>
      <c r="AB22">
        <f>AB21*Assumptions!$C$28</f>
        <v/>
      </c>
      <c r="AC22">
        <f>AC21*Assumptions!$C$28</f>
        <v/>
      </c>
      <c r="AD22">
        <f>AD21*Assumptions!$C$28</f>
        <v/>
      </c>
      <c r="AE22">
        <f>AE21*Assumptions!$C$28</f>
        <v/>
      </c>
      <c r="AF22">
        <f>AF21*Assumptions!$C$28</f>
        <v/>
      </c>
      <c r="AG22">
        <f>AG21*Assumptions!$C$28</f>
        <v/>
      </c>
      <c r="AH22">
        <f>AH21*Assumptions!$C$28</f>
        <v/>
      </c>
      <c r="AI22">
        <f>AI21*Assumptions!$C$28</f>
        <v/>
      </c>
      <c r="AJ22">
        <f>AJ21*Assumptions!$C$28</f>
        <v/>
      </c>
      <c r="AK22">
        <f>AK21*Assumptions!$C$28</f>
        <v/>
      </c>
      <c r="AL22">
        <f>AL21*Assumptions!$C$28</f>
        <v/>
      </c>
      <c r="AM22">
        <f>AM21*Assumptions!$C$28</f>
        <v/>
      </c>
      <c r="AN22">
        <f>AN21*Assumptions!$C$28</f>
        <v/>
      </c>
      <c r="AO22">
        <f>AO21*Assumptions!$C$28</f>
        <v/>
      </c>
      <c r="AP22">
        <f>AP21*Assumptions!$C$28</f>
        <v/>
      </c>
      <c r="AQ22">
        <f>AQ21*Assumptions!$C$28</f>
        <v/>
      </c>
      <c r="AR22">
        <f>AR21*Assumptions!$C$28</f>
        <v/>
      </c>
      <c r="AS22">
        <f>AS21*Assumptions!$C$28</f>
        <v/>
      </c>
      <c r="AT22">
        <f>AT21*Assumptions!$C$28</f>
        <v/>
      </c>
      <c r="AU22">
        <f>AU21*Assumptions!$C$28</f>
        <v/>
      </c>
      <c r="AV22">
        <f>AV21*Assumptions!$C$28</f>
        <v/>
      </c>
      <c r="AW22">
        <f>AW21*Assumptions!$C$28</f>
        <v/>
      </c>
      <c r="AX22">
        <f>AX21*Assumptions!$C$28</f>
        <v/>
      </c>
      <c r="AY22">
        <f>AY21*Assumptions!$C$28</f>
        <v/>
      </c>
      <c r="AZ22">
        <f>AZ21*Assumptions!$C$28</f>
        <v/>
      </c>
      <c r="BA22">
        <f>BA21*Assumptions!$C$28</f>
        <v/>
      </c>
      <c r="BB22">
        <f>BB21*Assumptions!$C$28</f>
        <v/>
      </c>
      <c r="BC22">
        <f>BC21*Assumptions!$C$28</f>
        <v/>
      </c>
      <c r="BD22">
        <f>BD21*Assumptions!$C$28</f>
        <v/>
      </c>
      <c r="BE22">
        <f>BE21*Assumptions!$C$28</f>
        <v/>
      </c>
      <c r="BF22">
        <f>BF21*Assumptions!$C$28</f>
        <v/>
      </c>
      <c r="BG22">
        <f>BG21*Assumptions!$C$28</f>
        <v/>
      </c>
      <c r="BH22">
        <f>BH21*Assumptions!$C$28</f>
        <v/>
      </c>
      <c r="BI22">
        <f>BI21*Assumptions!$C$28</f>
        <v/>
      </c>
      <c r="BJ22">
        <f>BJ21*Assumptions!$C$28</f>
        <v/>
      </c>
      <c r="BK22">
        <f>BK21*Assumptions!$C$28</f>
        <v/>
      </c>
      <c r="BL22">
        <f>BL21*Assumptions!$C$28</f>
        <v/>
      </c>
      <c r="BM22">
        <f>BM21*Assumptions!$C$28</f>
        <v/>
      </c>
      <c r="BN22">
        <f>BN21*Assumptions!$C$28</f>
        <v/>
      </c>
      <c r="BO22">
        <f>BO21*Assumptions!$C$28</f>
        <v/>
      </c>
      <c r="BP22">
        <f>BP21*Assumptions!$C$28</f>
        <v/>
      </c>
      <c r="BQ22">
        <f>BQ21*Assumptions!$C$28</f>
        <v/>
      </c>
      <c r="BR22">
        <f>BR21*Assumptions!$C$28</f>
        <v/>
      </c>
      <c r="BS22">
        <f>BS21*Assumptions!$C$28</f>
        <v/>
      </c>
      <c r="BT22">
        <f>BT21*Assumptions!$C$28</f>
        <v/>
      </c>
      <c r="BU22">
        <f>BU21*Assumptions!$C$28</f>
        <v/>
      </c>
      <c r="BV22">
        <f>BV21*Assumptions!$C$28</f>
        <v/>
      </c>
      <c r="BW22">
        <f>BW21*Assumptions!$C$28</f>
        <v/>
      </c>
      <c r="BX22">
        <f>BX21*Assumptions!$C$28</f>
        <v/>
      </c>
      <c r="BY22">
        <f>BY21*Assumptions!$C$28</f>
        <v/>
      </c>
      <c r="BZ22">
        <f>BZ21*Assumptions!$C$28</f>
        <v/>
      </c>
      <c r="CA22">
        <f>CA21*Assumptions!$C$28</f>
        <v/>
      </c>
      <c r="CB22">
        <f>CB21*Assumptions!$C$28</f>
        <v/>
      </c>
      <c r="CC22">
        <f>CC21*Assumptions!$C$28</f>
        <v/>
      </c>
      <c r="CD22">
        <f>CD21*Assumptions!$C$28</f>
        <v/>
      </c>
      <c r="CE22">
        <f>CE21*Assumptions!$C$28</f>
        <v/>
      </c>
      <c r="CF22">
        <f>CF21*Assumptions!$C$28</f>
        <v/>
      </c>
      <c r="CG22">
        <f>CG21*Assumptions!$C$28</f>
        <v/>
      </c>
      <c r="CH22">
        <f>CH21*Assumptions!$C$28</f>
        <v/>
      </c>
    </row>
    <row r="23">
      <c r="B23" t="inlineStr">
        <is>
          <t xml:space="preserve">  Course share ($)</t>
        </is>
      </c>
      <c r="C23">
        <f>C21*Assumptions!$C$29</f>
        <v/>
      </c>
      <c r="D23">
        <f>D21*Assumptions!$C$29</f>
        <v/>
      </c>
      <c r="E23">
        <f>E21*Assumptions!$C$29</f>
        <v/>
      </c>
      <c r="F23">
        <f>F21*Assumptions!$C$29</f>
        <v/>
      </c>
      <c r="G23">
        <f>G21*Assumptions!$C$29</f>
        <v/>
      </c>
      <c r="H23">
        <f>H21*Assumptions!$C$29</f>
        <v/>
      </c>
      <c r="I23">
        <f>I21*Assumptions!$C$29</f>
        <v/>
      </c>
      <c r="J23">
        <f>J21*Assumptions!$C$29</f>
        <v/>
      </c>
      <c r="K23">
        <f>K21*Assumptions!$C$29</f>
        <v/>
      </c>
      <c r="L23">
        <f>L21*Assumptions!$C$29</f>
        <v/>
      </c>
      <c r="M23">
        <f>M21*Assumptions!$C$29</f>
        <v/>
      </c>
      <c r="N23">
        <f>N21*Assumptions!$C$29</f>
        <v/>
      </c>
      <c r="O23">
        <f>O21*Assumptions!$C$29</f>
        <v/>
      </c>
      <c r="P23">
        <f>P21*Assumptions!$C$29</f>
        <v/>
      </c>
      <c r="Q23">
        <f>Q21*Assumptions!$C$29</f>
        <v/>
      </c>
      <c r="R23">
        <f>R21*Assumptions!$C$29</f>
        <v/>
      </c>
      <c r="S23">
        <f>S21*Assumptions!$C$29</f>
        <v/>
      </c>
      <c r="T23">
        <f>T21*Assumptions!$C$29</f>
        <v/>
      </c>
      <c r="U23">
        <f>U21*Assumptions!$C$29</f>
        <v/>
      </c>
      <c r="V23">
        <f>V21*Assumptions!$C$29</f>
        <v/>
      </c>
      <c r="W23">
        <f>W21*Assumptions!$C$29</f>
        <v/>
      </c>
      <c r="X23">
        <f>X21*Assumptions!$C$29</f>
        <v/>
      </c>
      <c r="Y23">
        <f>Y21*Assumptions!$C$29</f>
        <v/>
      </c>
      <c r="Z23">
        <f>Z21*Assumptions!$C$29</f>
        <v/>
      </c>
      <c r="AA23">
        <f>AA21*Assumptions!$C$29</f>
        <v/>
      </c>
      <c r="AB23">
        <f>AB21*Assumptions!$C$29</f>
        <v/>
      </c>
      <c r="AC23">
        <f>AC21*Assumptions!$C$29</f>
        <v/>
      </c>
      <c r="AD23">
        <f>AD21*Assumptions!$C$29</f>
        <v/>
      </c>
      <c r="AE23">
        <f>AE21*Assumptions!$C$29</f>
        <v/>
      </c>
      <c r="AF23">
        <f>AF21*Assumptions!$C$29</f>
        <v/>
      </c>
      <c r="AG23">
        <f>AG21*Assumptions!$C$29</f>
        <v/>
      </c>
      <c r="AH23">
        <f>AH21*Assumptions!$C$29</f>
        <v/>
      </c>
      <c r="AI23">
        <f>AI21*Assumptions!$C$29</f>
        <v/>
      </c>
      <c r="AJ23">
        <f>AJ21*Assumptions!$C$29</f>
        <v/>
      </c>
      <c r="AK23">
        <f>AK21*Assumptions!$C$29</f>
        <v/>
      </c>
      <c r="AL23">
        <f>AL21*Assumptions!$C$29</f>
        <v/>
      </c>
      <c r="AM23">
        <f>AM21*Assumptions!$C$29</f>
        <v/>
      </c>
      <c r="AN23">
        <f>AN21*Assumptions!$C$29</f>
        <v/>
      </c>
      <c r="AO23">
        <f>AO21*Assumptions!$C$29</f>
        <v/>
      </c>
      <c r="AP23">
        <f>AP21*Assumptions!$C$29</f>
        <v/>
      </c>
      <c r="AQ23">
        <f>AQ21*Assumptions!$C$29</f>
        <v/>
      </c>
      <c r="AR23">
        <f>AR21*Assumptions!$C$29</f>
        <v/>
      </c>
      <c r="AS23">
        <f>AS21*Assumptions!$C$29</f>
        <v/>
      </c>
      <c r="AT23">
        <f>AT21*Assumptions!$C$29</f>
        <v/>
      </c>
      <c r="AU23">
        <f>AU21*Assumptions!$C$29</f>
        <v/>
      </c>
      <c r="AV23">
        <f>AV21*Assumptions!$C$29</f>
        <v/>
      </c>
      <c r="AW23">
        <f>AW21*Assumptions!$C$29</f>
        <v/>
      </c>
      <c r="AX23">
        <f>AX21*Assumptions!$C$29</f>
        <v/>
      </c>
      <c r="AY23">
        <f>AY21*Assumptions!$C$29</f>
        <v/>
      </c>
      <c r="AZ23">
        <f>AZ21*Assumptions!$C$29</f>
        <v/>
      </c>
      <c r="BA23">
        <f>BA21*Assumptions!$C$29</f>
        <v/>
      </c>
      <c r="BB23">
        <f>BB21*Assumptions!$C$29</f>
        <v/>
      </c>
      <c r="BC23">
        <f>BC21*Assumptions!$C$29</f>
        <v/>
      </c>
      <c r="BD23">
        <f>BD21*Assumptions!$C$29</f>
        <v/>
      </c>
      <c r="BE23">
        <f>BE21*Assumptions!$C$29</f>
        <v/>
      </c>
      <c r="BF23">
        <f>BF21*Assumptions!$C$29</f>
        <v/>
      </c>
      <c r="BG23">
        <f>BG21*Assumptions!$C$29</f>
        <v/>
      </c>
      <c r="BH23">
        <f>BH21*Assumptions!$C$29</f>
        <v/>
      </c>
      <c r="BI23">
        <f>BI21*Assumptions!$C$29</f>
        <v/>
      </c>
      <c r="BJ23">
        <f>BJ21*Assumptions!$C$29</f>
        <v/>
      </c>
      <c r="BK23">
        <f>BK21*Assumptions!$C$29</f>
        <v/>
      </c>
      <c r="BL23">
        <f>BL21*Assumptions!$C$29</f>
        <v/>
      </c>
      <c r="BM23">
        <f>BM21*Assumptions!$C$29</f>
        <v/>
      </c>
      <c r="BN23">
        <f>BN21*Assumptions!$C$29</f>
        <v/>
      </c>
      <c r="BO23">
        <f>BO21*Assumptions!$C$29</f>
        <v/>
      </c>
      <c r="BP23">
        <f>BP21*Assumptions!$C$29</f>
        <v/>
      </c>
      <c r="BQ23">
        <f>BQ21*Assumptions!$C$29</f>
        <v/>
      </c>
      <c r="BR23">
        <f>BR21*Assumptions!$C$29</f>
        <v/>
      </c>
      <c r="BS23">
        <f>BS21*Assumptions!$C$29</f>
        <v/>
      </c>
      <c r="BT23">
        <f>BT21*Assumptions!$C$29</f>
        <v/>
      </c>
      <c r="BU23">
        <f>BU21*Assumptions!$C$29</f>
        <v/>
      </c>
      <c r="BV23">
        <f>BV21*Assumptions!$C$29</f>
        <v/>
      </c>
      <c r="BW23">
        <f>BW21*Assumptions!$C$29</f>
        <v/>
      </c>
      <c r="BX23">
        <f>BX21*Assumptions!$C$29</f>
        <v/>
      </c>
      <c r="BY23">
        <f>BY21*Assumptions!$C$29</f>
        <v/>
      </c>
      <c r="BZ23">
        <f>BZ21*Assumptions!$C$29</f>
        <v/>
      </c>
      <c r="CA23">
        <f>CA21*Assumptions!$C$29</f>
        <v/>
      </c>
      <c r="CB23">
        <f>CB21*Assumptions!$C$29</f>
        <v/>
      </c>
      <c r="CC23">
        <f>CC21*Assumptions!$C$29</f>
        <v/>
      </c>
      <c r="CD23">
        <f>CD21*Assumptions!$C$29</f>
        <v/>
      </c>
      <c r="CE23">
        <f>CE21*Assumptions!$C$29</f>
        <v/>
      </c>
      <c r="CF23">
        <f>CF21*Assumptions!$C$29</f>
        <v/>
      </c>
      <c r="CG23">
        <f>CG21*Assumptions!$C$29</f>
        <v/>
      </c>
      <c r="CH23">
        <f>CH21*Assumptions!$C$29</f>
        <v/>
      </c>
    </row>
    <row r="24">
      <c r="B24" t="inlineStr">
        <is>
          <t>Net entry revenue to Get Lucky ($)</t>
        </is>
      </c>
      <c r="C24">
        <f>C21*Assumptions!$C$30</f>
        <v/>
      </c>
      <c r="D24">
        <f>D21*Assumptions!$C$30</f>
        <v/>
      </c>
      <c r="E24">
        <f>E21*Assumptions!$C$30</f>
        <v/>
      </c>
      <c r="F24">
        <f>F21*Assumptions!$C$30</f>
        <v/>
      </c>
      <c r="G24">
        <f>G21*Assumptions!$C$30</f>
        <v/>
      </c>
      <c r="H24">
        <f>H21*Assumptions!$C$30</f>
        <v/>
      </c>
      <c r="I24">
        <f>I21*Assumptions!$C$30</f>
        <v/>
      </c>
      <c r="J24">
        <f>J21*Assumptions!$C$30</f>
        <v/>
      </c>
      <c r="K24">
        <f>K21*Assumptions!$C$30</f>
        <v/>
      </c>
      <c r="L24">
        <f>L21*Assumptions!$C$30</f>
        <v/>
      </c>
      <c r="M24">
        <f>M21*Assumptions!$C$30</f>
        <v/>
      </c>
      <c r="N24">
        <f>N21*Assumptions!$C$30</f>
        <v/>
      </c>
      <c r="O24">
        <f>O21*Assumptions!$C$30</f>
        <v/>
      </c>
      <c r="P24">
        <f>P21*Assumptions!$C$30</f>
        <v/>
      </c>
      <c r="Q24">
        <f>Q21*Assumptions!$C$30</f>
        <v/>
      </c>
      <c r="R24">
        <f>R21*Assumptions!$C$30</f>
        <v/>
      </c>
      <c r="S24">
        <f>S21*Assumptions!$C$30</f>
        <v/>
      </c>
      <c r="T24">
        <f>T21*Assumptions!$C$30</f>
        <v/>
      </c>
      <c r="U24">
        <f>U21*Assumptions!$C$30</f>
        <v/>
      </c>
      <c r="V24">
        <f>V21*Assumptions!$C$30</f>
        <v/>
      </c>
      <c r="W24">
        <f>W21*Assumptions!$C$30</f>
        <v/>
      </c>
      <c r="X24">
        <f>X21*Assumptions!$C$30</f>
        <v/>
      </c>
      <c r="Y24">
        <f>Y21*Assumptions!$C$30</f>
        <v/>
      </c>
      <c r="Z24">
        <f>Z21*Assumptions!$C$30</f>
        <v/>
      </c>
      <c r="AA24">
        <f>AA21*Assumptions!$C$30</f>
        <v/>
      </c>
      <c r="AB24">
        <f>AB21*Assumptions!$C$30</f>
        <v/>
      </c>
      <c r="AC24">
        <f>AC21*Assumptions!$C$30</f>
        <v/>
      </c>
      <c r="AD24">
        <f>AD21*Assumptions!$C$30</f>
        <v/>
      </c>
      <c r="AE24">
        <f>AE21*Assumptions!$C$30</f>
        <v/>
      </c>
      <c r="AF24">
        <f>AF21*Assumptions!$C$30</f>
        <v/>
      </c>
      <c r="AG24">
        <f>AG21*Assumptions!$C$30</f>
        <v/>
      </c>
      <c r="AH24">
        <f>AH21*Assumptions!$C$30</f>
        <v/>
      </c>
      <c r="AI24">
        <f>AI21*Assumptions!$C$30</f>
        <v/>
      </c>
      <c r="AJ24">
        <f>AJ21*Assumptions!$C$30</f>
        <v/>
      </c>
      <c r="AK24">
        <f>AK21*Assumptions!$C$30</f>
        <v/>
      </c>
      <c r="AL24">
        <f>AL21*Assumptions!$C$30</f>
        <v/>
      </c>
      <c r="AM24">
        <f>AM21*Assumptions!$C$30</f>
        <v/>
      </c>
      <c r="AN24">
        <f>AN21*Assumptions!$C$30</f>
        <v/>
      </c>
      <c r="AO24">
        <f>AO21*Assumptions!$C$30</f>
        <v/>
      </c>
      <c r="AP24">
        <f>AP21*Assumptions!$C$30</f>
        <v/>
      </c>
      <c r="AQ24">
        <f>AQ21*Assumptions!$C$30</f>
        <v/>
      </c>
      <c r="AR24">
        <f>AR21*Assumptions!$C$30</f>
        <v/>
      </c>
      <c r="AS24">
        <f>AS21*Assumptions!$C$30</f>
        <v/>
      </c>
      <c r="AT24">
        <f>AT21*Assumptions!$C$30</f>
        <v/>
      </c>
      <c r="AU24">
        <f>AU21*Assumptions!$C$30</f>
        <v/>
      </c>
      <c r="AV24">
        <f>AV21*Assumptions!$C$30</f>
        <v/>
      </c>
      <c r="AW24">
        <f>AW21*Assumptions!$C$30</f>
        <v/>
      </c>
      <c r="AX24">
        <f>AX21*Assumptions!$C$30</f>
        <v/>
      </c>
      <c r="AY24">
        <f>AY21*Assumptions!$C$30</f>
        <v/>
      </c>
      <c r="AZ24">
        <f>AZ21*Assumptions!$C$30</f>
        <v/>
      </c>
      <c r="BA24">
        <f>BA21*Assumptions!$C$30</f>
        <v/>
      </c>
      <c r="BB24">
        <f>BB21*Assumptions!$C$30</f>
        <v/>
      </c>
      <c r="BC24">
        <f>BC21*Assumptions!$C$30</f>
        <v/>
      </c>
      <c r="BD24">
        <f>BD21*Assumptions!$C$30</f>
        <v/>
      </c>
      <c r="BE24">
        <f>BE21*Assumptions!$C$30</f>
        <v/>
      </c>
      <c r="BF24">
        <f>BF21*Assumptions!$C$30</f>
        <v/>
      </c>
      <c r="BG24">
        <f>BG21*Assumptions!$C$30</f>
        <v/>
      </c>
      <c r="BH24">
        <f>BH21*Assumptions!$C$30</f>
        <v/>
      </c>
      <c r="BI24">
        <f>BI21*Assumptions!$C$30</f>
        <v/>
      </c>
      <c r="BJ24">
        <f>BJ21*Assumptions!$C$30</f>
        <v/>
      </c>
      <c r="BK24">
        <f>BK21*Assumptions!$C$30</f>
        <v/>
      </c>
      <c r="BL24">
        <f>BL21*Assumptions!$C$30</f>
        <v/>
      </c>
      <c r="BM24">
        <f>BM21*Assumptions!$C$30</f>
        <v/>
      </c>
      <c r="BN24">
        <f>BN21*Assumptions!$C$30</f>
        <v/>
      </c>
      <c r="BO24">
        <f>BO21*Assumptions!$C$30</f>
        <v/>
      </c>
      <c r="BP24">
        <f>BP21*Assumptions!$C$30</f>
        <v/>
      </c>
      <c r="BQ24">
        <f>BQ21*Assumptions!$C$30</f>
        <v/>
      </c>
      <c r="BR24">
        <f>BR21*Assumptions!$C$30</f>
        <v/>
      </c>
      <c r="BS24">
        <f>BS21*Assumptions!$C$30</f>
        <v/>
      </c>
      <c r="BT24">
        <f>BT21*Assumptions!$C$30</f>
        <v/>
      </c>
      <c r="BU24">
        <f>BU21*Assumptions!$C$30</f>
        <v/>
      </c>
      <c r="BV24">
        <f>BV21*Assumptions!$C$30</f>
        <v/>
      </c>
      <c r="BW24">
        <f>BW21*Assumptions!$C$30</f>
        <v/>
      </c>
      <c r="BX24">
        <f>BX21*Assumptions!$C$30</f>
        <v/>
      </c>
      <c r="BY24">
        <f>BY21*Assumptions!$C$30</f>
        <v/>
      </c>
      <c r="BZ24">
        <f>BZ21*Assumptions!$C$30</f>
        <v/>
      </c>
      <c r="CA24">
        <f>CA21*Assumptions!$C$30</f>
        <v/>
      </c>
      <c r="CB24">
        <f>CB21*Assumptions!$C$30</f>
        <v/>
      </c>
      <c r="CC24">
        <f>CC21*Assumptions!$C$30</f>
        <v/>
      </c>
      <c r="CD24">
        <f>CD21*Assumptions!$C$30</f>
        <v/>
      </c>
      <c r="CE24">
        <f>CE21*Assumptions!$C$30</f>
        <v/>
      </c>
      <c r="CF24">
        <f>CF21*Assumptions!$C$30</f>
        <v/>
      </c>
      <c r="CG24">
        <f>CG21*Assumptions!$C$30</f>
        <v/>
      </c>
      <c r="CH24">
        <f>CH21*Assumptions!$C$30</f>
        <v/>
      </c>
    </row>
    <row r="26">
      <c r="B26" s="2" t="inlineStr">
        <is>
          <t>REVENUE ($)</t>
        </is>
      </c>
    </row>
    <row r="27">
      <c r="B27" t="inlineStr">
        <is>
          <t>Membership</t>
        </is>
      </c>
      <c r="C27">
        <f>C16*Assumptions!$C$19</f>
        <v/>
      </c>
      <c r="D27">
        <f>D16*Assumptions!$C$19</f>
        <v/>
      </c>
      <c r="E27">
        <f>E16*Assumptions!$C$19</f>
        <v/>
      </c>
      <c r="F27">
        <f>F16*Assumptions!$C$19</f>
        <v/>
      </c>
      <c r="G27">
        <f>G16*Assumptions!$C$19</f>
        <v/>
      </c>
      <c r="H27">
        <f>H16*Assumptions!$C$19</f>
        <v/>
      </c>
      <c r="I27">
        <f>I16*Assumptions!$C$19</f>
        <v/>
      </c>
      <c r="J27">
        <f>J16*Assumptions!$C$19</f>
        <v/>
      </c>
      <c r="K27">
        <f>K16*Assumptions!$C$19</f>
        <v/>
      </c>
      <c r="L27">
        <f>L16*Assumptions!$C$19</f>
        <v/>
      </c>
      <c r="M27">
        <f>M16*Assumptions!$C$19</f>
        <v/>
      </c>
      <c r="N27">
        <f>N16*Assumptions!$C$19</f>
        <v/>
      </c>
      <c r="O27">
        <f>O16*Assumptions!$C$19</f>
        <v/>
      </c>
      <c r="P27">
        <f>P16*Assumptions!$C$19</f>
        <v/>
      </c>
      <c r="Q27">
        <f>Q16*Assumptions!$C$19</f>
        <v/>
      </c>
      <c r="R27">
        <f>R16*Assumptions!$C$19</f>
        <v/>
      </c>
      <c r="S27">
        <f>S16*Assumptions!$C$19</f>
        <v/>
      </c>
      <c r="T27">
        <f>T16*Assumptions!$C$19</f>
        <v/>
      </c>
      <c r="U27">
        <f>U16*Assumptions!$C$19</f>
        <v/>
      </c>
      <c r="V27">
        <f>V16*Assumptions!$C$19</f>
        <v/>
      </c>
      <c r="W27">
        <f>W16*Assumptions!$C$19</f>
        <v/>
      </c>
      <c r="X27">
        <f>X16*Assumptions!$C$19</f>
        <v/>
      </c>
      <c r="Y27">
        <f>Y16*Assumptions!$C$19</f>
        <v/>
      </c>
      <c r="Z27">
        <f>Z16*Assumptions!$C$19</f>
        <v/>
      </c>
      <c r="AA27">
        <f>AA16*Assumptions!$C$19</f>
        <v/>
      </c>
      <c r="AB27">
        <f>AB16*Assumptions!$C$19</f>
        <v/>
      </c>
      <c r="AC27">
        <f>AC16*Assumptions!$C$19</f>
        <v/>
      </c>
      <c r="AD27">
        <f>AD16*Assumptions!$C$19</f>
        <v/>
      </c>
      <c r="AE27">
        <f>AE16*Assumptions!$C$19</f>
        <v/>
      </c>
      <c r="AF27">
        <f>AF16*Assumptions!$C$19</f>
        <v/>
      </c>
      <c r="AG27">
        <f>AG16*Assumptions!$C$19</f>
        <v/>
      </c>
      <c r="AH27">
        <f>AH16*Assumptions!$C$19</f>
        <v/>
      </c>
      <c r="AI27">
        <f>AI16*Assumptions!$C$19</f>
        <v/>
      </c>
      <c r="AJ27">
        <f>AJ16*Assumptions!$C$19</f>
        <v/>
      </c>
      <c r="AK27">
        <f>AK16*Assumptions!$C$19</f>
        <v/>
      </c>
      <c r="AL27">
        <f>AL16*Assumptions!$C$19</f>
        <v/>
      </c>
      <c r="AM27">
        <f>AM16*Assumptions!$C$19</f>
        <v/>
      </c>
      <c r="AN27">
        <f>AN16*Assumptions!$C$19</f>
        <v/>
      </c>
      <c r="AO27">
        <f>AO16*Assumptions!$C$19</f>
        <v/>
      </c>
      <c r="AP27">
        <f>AP16*Assumptions!$C$19</f>
        <v/>
      </c>
      <c r="AQ27">
        <f>AQ16*Assumptions!$C$19</f>
        <v/>
      </c>
      <c r="AR27">
        <f>AR16*Assumptions!$C$19</f>
        <v/>
      </c>
      <c r="AS27">
        <f>AS16*Assumptions!$C$19</f>
        <v/>
      </c>
      <c r="AT27">
        <f>AT16*Assumptions!$C$19</f>
        <v/>
      </c>
      <c r="AU27">
        <f>AU16*Assumptions!$C$19</f>
        <v/>
      </c>
      <c r="AV27">
        <f>AV16*Assumptions!$C$19</f>
        <v/>
      </c>
      <c r="AW27">
        <f>AW16*Assumptions!$C$19</f>
        <v/>
      </c>
      <c r="AX27">
        <f>AX16*Assumptions!$C$19</f>
        <v/>
      </c>
      <c r="AY27">
        <f>AY16*Assumptions!$C$19</f>
        <v/>
      </c>
      <c r="AZ27">
        <f>AZ16*Assumptions!$C$19</f>
        <v/>
      </c>
      <c r="BA27">
        <f>BA16*Assumptions!$C$19</f>
        <v/>
      </c>
      <c r="BB27">
        <f>BB16*Assumptions!$C$19</f>
        <v/>
      </c>
      <c r="BC27">
        <f>BC16*Assumptions!$C$19</f>
        <v/>
      </c>
      <c r="BD27">
        <f>BD16*Assumptions!$C$19</f>
        <v/>
      </c>
      <c r="BE27">
        <f>BE16*Assumptions!$C$19</f>
        <v/>
      </c>
      <c r="BF27">
        <f>BF16*Assumptions!$C$19</f>
        <v/>
      </c>
      <c r="BG27">
        <f>BG16*Assumptions!$C$19</f>
        <v/>
      </c>
      <c r="BH27">
        <f>BH16*Assumptions!$C$19</f>
        <v/>
      </c>
      <c r="BI27">
        <f>BI16*Assumptions!$C$19</f>
        <v/>
      </c>
      <c r="BJ27">
        <f>BJ16*Assumptions!$C$19</f>
        <v/>
      </c>
      <c r="BK27">
        <f>BK16*Assumptions!$C$19</f>
        <v/>
      </c>
      <c r="BL27">
        <f>BL16*Assumptions!$C$19</f>
        <v/>
      </c>
      <c r="BM27">
        <f>BM16*Assumptions!$C$19</f>
        <v/>
      </c>
      <c r="BN27">
        <f>BN16*Assumptions!$C$19</f>
        <v/>
      </c>
      <c r="BO27">
        <f>BO16*Assumptions!$C$19</f>
        <v/>
      </c>
      <c r="BP27">
        <f>BP16*Assumptions!$C$19</f>
        <v/>
      </c>
      <c r="BQ27">
        <f>BQ16*Assumptions!$C$19</f>
        <v/>
      </c>
      <c r="BR27">
        <f>BR16*Assumptions!$C$19</f>
        <v/>
      </c>
      <c r="BS27">
        <f>BS16*Assumptions!$C$19</f>
        <v/>
      </c>
      <c r="BT27">
        <f>BT16*Assumptions!$C$19</f>
        <v/>
      </c>
      <c r="BU27">
        <f>BU16*Assumptions!$C$19</f>
        <v/>
      </c>
      <c r="BV27">
        <f>BV16*Assumptions!$C$19</f>
        <v/>
      </c>
      <c r="BW27">
        <f>BW16*Assumptions!$C$19</f>
        <v/>
      </c>
      <c r="BX27">
        <f>BX16*Assumptions!$C$19</f>
        <v/>
      </c>
      <c r="BY27">
        <f>BY16*Assumptions!$C$19</f>
        <v/>
      </c>
      <c r="BZ27">
        <f>BZ16*Assumptions!$C$19</f>
        <v/>
      </c>
      <c r="CA27">
        <f>CA16*Assumptions!$C$19</f>
        <v/>
      </c>
      <c r="CB27">
        <f>CB16*Assumptions!$C$19</f>
        <v/>
      </c>
      <c r="CC27">
        <f>CC16*Assumptions!$C$19</f>
        <v/>
      </c>
      <c r="CD27">
        <f>CD16*Assumptions!$C$19</f>
        <v/>
      </c>
      <c r="CE27">
        <f>CE16*Assumptions!$C$19</f>
        <v/>
      </c>
      <c r="CF27">
        <f>CF16*Assumptions!$C$19</f>
        <v/>
      </c>
      <c r="CG27">
        <f>CG16*Assumptions!$C$19</f>
        <v/>
      </c>
      <c r="CH27">
        <f>CH16*Assumptions!$C$19</f>
        <v/>
      </c>
    </row>
    <row r="28">
      <c r="B28" t="inlineStr">
        <is>
          <t>Pay-per-play (net)</t>
        </is>
      </c>
      <c r="C28">
        <f>C24</f>
        <v/>
      </c>
      <c r="D28">
        <f>D24</f>
        <v/>
      </c>
      <c r="E28">
        <f>E24</f>
        <v/>
      </c>
      <c r="F28">
        <f>F24</f>
        <v/>
      </c>
      <c r="G28">
        <f>G24</f>
        <v/>
      </c>
      <c r="H28">
        <f>H24</f>
        <v/>
      </c>
      <c r="I28">
        <f>I24</f>
        <v/>
      </c>
      <c r="J28">
        <f>J24</f>
        <v/>
      </c>
      <c r="K28">
        <f>K24</f>
        <v/>
      </c>
      <c r="L28">
        <f>L24</f>
        <v/>
      </c>
      <c r="M28">
        <f>M24</f>
        <v/>
      </c>
      <c r="N28">
        <f>N24</f>
        <v/>
      </c>
      <c r="O28">
        <f>O24</f>
        <v/>
      </c>
      <c r="P28">
        <f>P24</f>
        <v/>
      </c>
      <c r="Q28">
        <f>Q24</f>
        <v/>
      </c>
      <c r="R28">
        <f>R24</f>
        <v/>
      </c>
      <c r="S28">
        <f>S24</f>
        <v/>
      </c>
      <c r="T28">
        <f>T24</f>
        <v/>
      </c>
      <c r="U28">
        <f>U24</f>
        <v/>
      </c>
      <c r="V28">
        <f>V24</f>
        <v/>
      </c>
      <c r="W28">
        <f>W24</f>
        <v/>
      </c>
      <c r="X28">
        <f>X24</f>
        <v/>
      </c>
      <c r="Y28">
        <f>Y24</f>
        <v/>
      </c>
      <c r="Z28">
        <f>Z24</f>
        <v/>
      </c>
      <c r="AA28">
        <f>AA24</f>
        <v/>
      </c>
      <c r="AB28">
        <f>AB24</f>
        <v/>
      </c>
      <c r="AC28">
        <f>AC24</f>
        <v/>
      </c>
      <c r="AD28">
        <f>AD24</f>
        <v/>
      </c>
      <c r="AE28">
        <f>AE24</f>
        <v/>
      </c>
      <c r="AF28">
        <f>AF24</f>
        <v/>
      </c>
      <c r="AG28">
        <f>AG24</f>
        <v/>
      </c>
      <c r="AH28">
        <f>AH24</f>
        <v/>
      </c>
      <c r="AI28">
        <f>AI24</f>
        <v/>
      </c>
      <c r="AJ28">
        <f>AJ24</f>
        <v/>
      </c>
      <c r="AK28">
        <f>AK24</f>
        <v/>
      </c>
      <c r="AL28">
        <f>AL24</f>
        <v/>
      </c>
      <c r="AM28">
        <f>AM24</f>
        <v/>
      </c>
      <c r="AN28">
        <f>AN24</f>
        <v/>
      </c>
      <c r="AO28">
        <f>AO24</f>
        <v/>
      </c>
      <c r="AP28">
        <f>AP24</f>
        <v/>
      </c>
      <c r="AQ28">
        <f>AQ24</f>
        <v/>
      </c>
      <c r="AR28">
        <f>AR24</f>
        <v/>
      </c>
      <c r="AS28">
        <f>AS24</f>
        <v/>
      </c>
      <c r="AT28">
        <f>AT24</f>
        <v/>
      </c>
      <c r="AU28">
        <f>AU24</f>
        <v/>
      </c>
      <c r="AV28">
        <f>AV24</f>
        <v/>
      </c>
      <c r="AW28">
        <f>AW24</f>
        <v/>
      </c>
      <c r="AX28">
        <f>AX24</f>
        <v/>
      </c>
      <c r="AY28">
        <f>AY24</f>
        <v/>
      </c>
      <c r="AZ28">
        <f>AZ24</f>
        <v/>
      </c>
      <c r="BA28">
        <f>BA24</f>
        <v/>
      </c>
      <c r="BB28">
        <f>BB24</f>
        <v/>
      </c>
      <c r="BC28">
        <f>BC24</f>
        <v/>
      </c>
      <c r="BD28">
        <f>BD24</f>
        <v/>
      </c>
      <c r="BE28">
        <f>BE24</f>
        <v/>
      </c>
      <c r="BF28">
        <f>BF24</f>
        <v/>
      </c>
      <c r="BG28">
        <f>BG24</f>
        <v/>
      </c>
      <c r="BH28">
        <f>BH24</f>
        <v/>
      </c>
      <c r="BI28">
        <f>BI24</f>
        <v/>
      </c>
      <c r="BJ28">
        <f>BJ24</f>
        <v/>
      </c>
      <c r="BK28">
        <f>BK24</f>
        <v/>
      </c>
      <c r="BL28">
        <f>BL24</f>
        <v/>
      </c>
      <c r="BM28">
        <f>BM24</f>
        <v/>
      </c>
      <c r="BN28">
        <f>BN24</f>
        <v/>
      </c>
      <c r="BO28">
        <f>BO24</f>
        <v/>
      </c>
      <c r="BP28">
        <f>BP24</f>
        <v/>
      </c>
      <c r="BQ28">
        <f>BQ24</f>
        <v/>
      </c>
      <c r="BR28">
        <f>BR24</f>
        <v/>
      </c>
      <c r="BS28">
        <f>BS24</f>
        <v/>
      </c>
      <c r="BT28">
        <f>BT24</f>
        <v/>
      </c>
      <c r="BU28">
        <f>BU24</f>
        <v/>
      </c>
      <c r="BV28">
        <f>BV24</f>
        <v/>
      </c>
      <c r="BW28">
        <f>BW24</f>
        <v/>
      </c>
      <c r="BX28">
        <f>BX24</f>
        <v/>
      </c>
      <c r="BY28">
        <f>BY24</f>
        <v/>
      </c>
      <c r="BZ28">
        <f>BZ24</f>
        <v/>
      </c>
      <c r="CA28">
        <f>CA24</f>
        <v/>
      </c>
      <c r="CB28">
        <f>CB24</f>
        <v/>
      </c>
      <c r="CC28">
        <f>CC24</f>
        <v/>
      </c>
      <c r="CD28">
        <f>CD24</f>
        <v/>
      </c>
      <c r="CE28">
        <f>CE24</f>
        <v/>
      </c>
      <c r="CF28">
        <f>CF24</f>
        <v/>
      </c>
      <c r="CG28">
        <f>CG24</f>
        <v/>
      </c>
      <c r="CH28">
        <f>CH24</f>
        <v/>
      </c>
    </row>
    <row r="29">
      <c r="B29" t="inlineStr">
        <is>
          <t>In-play upsells (net)</t>
        </is>
      </c>
      <c r="C29">
        <f>C20*Assumptions!$C$33*Assumptions!$C$34*Assumptions!$C$35</f>
        <v/>
      </c>
      <c r="D29">
        <f>D20*Assumptions!$C$33*Assumptions!$C$34*Assumptions!$C$35</f>
        <v/>
      </c>
      <c r="E29">
        <f>E20*Assumptions!$C$33*Assumptions!$C$34*Assumptions!$C$35</f>
        <v/>
      </c>
      <c r="F29">
        <f>F20*Assumptions!$C$33*Assumptions!$C$34*Assumptions!$C$35</f>
        <v/>
      </c>
      <c r="G29">
        <f>G20*Assumptions!$C$33*Assumptions!$C$34*Assumptions!$C$35</f>
        <v/>
      </c>
      <c r="H29">
        <f>H20*Assumptions!$C$33*Assumptions!$C$34*Assumptions!$C$35</f>
        <v/>
      </c>
      <c r="I29">
        <f>I20*Assumptions!$C$33*Assumptions!$C$34*Assumptions!$C$35</f>
        <v/>
      </c>
      <c r="J29">
        <f>J20*Assumptions!$C$33*Assumptions!$C$34*Assumptions!$C$35</f>
        <v/>
      </c>
      <c r="K29">
        <f>K20*Assumptions!$C$33*Assumptions!$C$34*Assumptions!$C$35</f>
        <v/>
      </c>
      <c r="L29">
        <f>L20*Assumptions!$C$33*Assumptions!$C$34*Assumptions!$C$35</f>
        <v/>
      </c>
      <c r="M29">
        <f>M20*Assumptions!$C$33*Assumptions!$C$34*Assumptions!$C$35</f>
        <v/>
      </c>
      <c r="N29">
        <f>N20*Assumptions!$C$33*Assumptions!$C$34*Assumptions!$C$35</f>
        <v/>
      </c>
      <c r="O29">
        <f>O20*Assumptions!$C$33*Assumptions!$C$34*Assumptions!$C$35</f>
        <v/>
      </c>
      <c r="P29">
        <f>P20*Assumptions!$C$33*Assumptions!$C$34*Assumptions!$C$35</f>
        <v/>
      </c>
      <c r="Q29">
        <f>Q20*Assumptions!$C$33*Assumptions!$C$34*Assumptions!$C$35</f>
        <v/>
      </c>
      <c r="R29">
        <f>R20*Assumptions!$C$33*Assumptions!$C$34*Assumptions!$C$35</f>
        <v/>
      </c>
      <c r="S29">
        <f>S20*Assumptions!$C$33*Assumptions!$C$34*Assumptions!$C$35</f>
        <v/>
      </c>
      <c r="T29">
        <f>T20*Assumptions!$C$33*Assumptions!$C$34*Assumptions!$C$35</f>
        <v/>
      </c>
      <c r="U29">
        <f>U20*Assumptions!$C$33*Assumptions!$C$34*Assumptions!$C$35</f>
        <v/>
      </c>
      <c r="V29">
        <f>V20*Assumptions!$C$33*Assumptions!$C$34*Assumptions!$C$35</f>
        <v/>
      </c>
      <c r="W29">
        <f>W20*Assumptions!$C$33*Assumptions!$C$34*Assumptions!$C$35</f>
        <v/>
      </c>
      <c r="X29">
        <f>X20*Assumptions!$C$33*Assumptions!$C$34*Assumptions!$C$35</f>
        <v/>
      </c>
      <c r="Y29">
        <f>Y20*Assumptions!$C$33*Assumptions!$C$34*Assumptions!$C$35</f>
        <v/>
      </c>
      <c r="Z29">
        <f>Z20*Assumptions!$C$33*Assumptions!$C$34*Assumptions!$C$35</f>
        <v/>
      </c>
      <c r="AA29">
        <f>AA20*Assumptions!$C$33*Assumptions!$C$34*Assumptions!$C$35</f>
        <v/>
      </c>
      <c r="AB29">
        <f>AB20*Assumptions!$C$33*Assumptions!$C$34*Assumptions!$C$35</f>
        <v/>
      </c>
      <c r="AC29">
        <f>AC20*Assumptions!$C$33*Assumptions!$C$34*Assumptions!$C$35</f>
        <v/>
      </c>
      <c r="AD29">
        <f>AD20*Assumptions!$C$33*Assumptions!$C$34*Assumptions!$C$35</f>
        <v/>
      </c>
      <c r="AE29">
        <f>AE20*Assumptions!$C$33*Assumptions!$C$34*Assumptions!$C$35</f>
        <v/>
      </c>
      <c r="AF29">
        <f>AF20*Assumptions!$C$33*Assumptions!$C$34*Assumptions!$C$35</f>
        <v/>
      </c>
      <c r="AG29">
        <f>AG20*Assumptions!$C$33*Assumptions!$C$34*Assumptions!$C$35</f>
        <v/>
      </c>
      <c r="AH29">
        <f>AH20*Assumptions!$C$33*Assumptions!$C$34*Assumptions!$C$35</f>
        <v/>
      </c>
      <c r="AI29">
        <f>AI20*Assumptions!$C$33*Assumptions!$C$34*Assumptions!$C$35</f>
        <v/>
      </c>
      <c r="AJ29">
        <f>AJ20*Assumptions!$C$33*Assumptions!$C$34*Assumptions!$C$35</f>
        <v/>
      </c>
      <c r="AK29">
        <f>AK20*Assumptions!$C$33*Assumptions!$C$34*Assumptions!$C$35</f>
        <v/>
      </c>
      <c r="AL29">
        <f>AL20*Assumptions!$C$33*Assumptions!$C$34*Assumptions!$C$35</f>
        <v/>
      </c>
      <c r="AM29">
        <f>AM20*Assumptions!$C$33*Assumptions!$C$34*Assumptions!$C$35</f>
        <v/>
      </c>
      <c r="AN29">
        <f>AN20*Assumptions!$C$33*Assumptions!$C$34*Assumptions!$C$35</f>
        <v/>
      </c>
      <c r="AO29">
        <f>AO20*Assumptions!$C$33*Assumptions!$C$34*Assumptions!$C$35</f>
        <v/>
      </c>
      <c r="AP29">
        <f>AP20*Assumptions!$C$33*Assumptions!$C$34*Assumptions!$C$35</f>
        <v/>
      </c>
      <c r="AQ29">
        <f>AQ20*Assumptions!$C$33*Assumptions!$C$34*Assumptions!$C$35</f>
        <v/>
      </c>
      <c r="AR29">
        <f>AR20*Assumptions!$C$33*Assumptions!$C$34*Assumptions!$C$35</f>
        <v/>
      </c>
      <c r="AS29">
        <f>AS20*Assumptions!$C$33*Assumptions!$C$34*Assumptions!$C$35</f>
        <v/>
      </c>
      <c r="AT29">
        <f>AT20*Assumptions!$C$33*Assumptions!$C$34*Assumptions!$C$35</f>
        <v/>
      </c>
      <c r="AU29">
        <f>AU20*Assumptions!$C$33*Assumptions!$C$34*Assumptions!$C$35</f>
        <v/>
      </c>
      <c r="AV29">
        <f>AV20*Assumptions!$C$33*Assumptions!$C$34*Assumptions!$C$35</f>
        <v/>
      </c>
      <c r="AW29">
        <f>AW20*Assumptions!$C$33*Assumptions!$C$34*Assumptions!$C$35</f>
        <v/>
      </c>
      <c r="AX29">
        <f>AX20*Assumptions!$C$33*Assumptions!$C$34*Assumptions!$C$35</f>
        <v/>
      </c>
      <c r="AY29">
        <f>AY20*Assumptions!$C$33*Assumptions!$C$34*Assumptions!$C$35</f>
        <v/>
      </c>
      <c r="AZ29">
        <f>AZ20*Assumptions!$C$33*Assumptions!$C$34*Assumptions!$C$35</f>
        <v/>
      </c>
      <c r="BA29">
        <f>BA20*Assumptions!$C$33*Assumptions!$C$34*Assumptions!$C$35</f>
        <v/>
      </c>
      <c r="BB29">
        <f>BB20*Assumptions!$C$33*Assumptions!$C$34*Assumptions!$C$35</f>
        <v/>
      </c>
      <c r="BC29">
        <f>BC20*Assumptions!$C$33*Assumptions!$C$34*Assumptions!$C$35</f>
        <v/>
      </c>
      <c r="BD29">
        <f>BD20*Assumptions!$C$33*Assumptions!$C$34*Assumptions!$C$35</f>
        <v/>
      </c>
      <c r="BE29">
        <f>BE20*Assumptions!$C$33*Assumptions!$C$34*Assumptions!$C$35</f>
        <v/>
      </c>
      <c r="BF29">
        <f>BF20*Assumptions!$C$33*Assumptions!$C$34*Assumptions!$C$35</f>
        <v/>
      </c>
      <c r="BG29">
        <f>BG20*Assumptions!$C$33*Assumptions!$C$34*Assumptions!$C$35</f>
        <v/>
      </c>
      <c r="BH29">
        <f>BH20*Assumptions!$C$33*Assumptions!$C$34*Assumptions!$C$35</f>
        <v/>
      </c>
      <c r="BI29">
        <f>BI20*Assumptions!$C$33*Assumptions!$C$34*Assumptions!$C$35</f>
        <v/>
      </c>
      <c r="BJ29">
        <f>BJ20*Assumptions!$C$33*Assumptions!$C$34*Assumptions!$C$35</f>
        <v/>
      </c>
      <c r="BK29">
        <f>BK20*Assumptions!$C$33*Assumptions!$C$34*Assumptions!$C$35</f>
        <v/>
      </c>
      <c r="BL29">
        <f>BL20*Assumptions!$C$33*Assumptions!$C$34*Assumptions!$C$35</f>
        <v/>
      </c>
      <c r="BM29">
        <f>BM20*Assumptions!$C$33*Assumptions!$C$34*Assumptions!$C$35</f>
        <v/>
      </c>
      <c r="BN29">
        <f>BN20*Assumptions!$C$33*Assumptions!$C$34*Assumptions!$C$35</f>
        <v/>
      </c>
      <c r="BO29">
        <f>BO20*Assumptions!$C$33*Assumptions!$C$34*Assumptions!$C$35</f>
        <v/>
      </c>
      <c r="BP29">
        <f>BP20*Assumptions!$C$33*Assumptions!$C$34*Assumptions!$C$35</f>
        <v/>
      </c>
      <c r="BQ29">
        <f>BQ20*Assumptions!$C$33*Assumptions!$C$34*Assumptions!$C$35</f>
        <v/>
      </c>
      <c r="BR29">
        <f>BR20*Assumptions!$C$33*Assumptions!$C$34*Assumptions!$C$35</f>
        <v/>
      </c>
      <c r="BS29">
        <f>BS20*Assumptions!$C$33*Assumptions!$C$34*Assumptions!$C$35</f>
        <v/>
      </c>
      <c r="BT29">
        <f>BT20*Assumptions!$C$33*Assumptions!$C$34*Assumptions!$C$35</f>
        <v/>
      </c>
      <c r="BU29">
        <f>BU20*Assumptions!$C$33*Assumptions!$C$34*Assumptions!$C$35</f>
        <v/>
      </c>
      <c r="BV29">
        <f>BV20*Assumptions!$C$33*Assumptions!$C$34*Assumptions!$C$35</f>
        <v/>
      </c>
      <c r="BW29">
        <f>BW20*Assumptions!$C$33*Assumptions!$C$34*Assumptions!$C$35</f>
        <v/>
      </c>
      <c r="BX29">
        <f>BX20*Assumptions!$C$33*Assumptions!$C$34*Assumptions!$C$35</f>
        <v/>
      </c>
      <c r="BY29">
        <f>BY20*Assumptions!$C$33*Assumptions!$C$34*Assumptions!$C$35</f>
        <v/>
      </c>
      <c r="BZ29">
        <f>BZ20*Assumptions!$C$33*Assumptions!$C$34*Assumptions!$C$35</f>
        <v/>
      </c>
      <c r="CA29">
        <f>CA20*Assumptions!$C$33*Assumptions!$C$34*Assumptions!$C$35</f>
        <v/>
      </c>
      <c r="CB29">
        <f>CB20*Assumptions!$C$33*Assumptions!$C$34*Assumptions!$C$35</f>
        <v/>
      </c>
      <c r="CC29">
        <f>CC20*Assumptions!$C$33*Assumptions!$C$34*Assumptions!$C$35</f>
        <v/>
      </c>
      <c r="CD29">
        <f>CD20*Assumptions!$C$33*Assumptions!$C$34*Assumptions!$C$35</f>
        <v/>
      </c>
      <c r="CE29">
        <f>CE20*Assumptions!$C$33*Assumptions!$C$34*Assumptions!$C$35</f>
        <v/>
      </c>
      <c r="CF29">
        <f>CF20*Assumptions!$C$33*Assumptions!$C$34*Assumptions!$C$35</f>
        <v/>
      </c>
      <c r="CG29">
        <f>CG20*Assumptions!$C$33*Assumptions!$C$34*Assumptions!$C$35</f>
        <v/>
      </c>
      <c r="CH29">
        <f>CH20*Assumptions!$C$33*Assumptions!$C$34*Assumptions!$C$35</f>
        <v/>
      </c>
    </row>
    <row r="31">
      <c r="B31" s="2" t="inlineStr">
        <is>
          <t>MEMO — INSURANCE</t>
        </is>
      </c>
    </row>
    <row r="32">
      <c r="B32" t="inlineStr">
        <is>
          <t>Expected aces</t>
        </is>
      </c>
      <c r="C32">
        <f>C20*Insurance!$C$8</f>
        <v/>
      </c>
      <c r="D32">
        <f>D20*Insurance!$C$8</f>
        <v/>
      </c>
      <c r="E32">
        <f>E20*Insurance!$C$8</f>
        <v/>
      </c>
      <c r="F32">
        <f>F20*Insurance!$C$8</f>
        <v/>
      </c>
      <c r="G32">
        <f>G20*Insurance!$C$8</f>
        <v/>
      </c>
      <c r="H32">
        <f>H20*Insurance!$C$8</f>
        <v/>
      </c>
      <c r="I32">
        <f>I20*Insurance!$C$8</f>
        <v/>
      </c>
      <c r="J32">
        <f>J20*Insurance!$C$8</f>
        <v/>
      </c>
      <c r="K32">
        <f>K20*Insurance!$C$8</f>
        <v/>
      </c>
      <c r="L32">
        <f>L20*Insurance!$C$8</f>
        <v/>
      </c>
      <c r="M32">
        <f>M20*Insurance!$C$8</f>
        <v/>
      </c>
      <c r="N32">
        <f>N20*Insurance!$C$8</f>
        <v/>
      </c>
      <c r="O32">
        <f>O20*Insurance!$C$8</f>
        <v/>
      </c>
      <c r="P32">
        <f>P20*Insurance!$C$8</f>
        <v/>
      </c>
      <c r="Q32">
        <f>Q20*Insurance!$C$8</f>
        <v/>
      </c>
      <c r="R32">
        <f>R20*Insurance!$C$8</f>
        <v/>
      </c>
      <c r="S32">
        <f>S20*Insurance!$C$8</f>
        <v/>
      </c>
      <c r="T32">
        <f>T20*Insurance!$C$8</f>
        <v/>
      </c>
      <c r="U32">
        <f>U20*Insurance!$C$8</f>
        <v/>
      </c>
      <c r="V32">
        <f>V20*Insurance!$C$8</f>
        <v/>
      </c>
      <c r="W32">
        <f>W20*Insurance!$C$8</f>
        <v/>
      </c>
      <c r="X32">
        <f>X20*Insurance!$C$8</f>
        <v/>
      </c>
      <c r="Y32">
        <f>Y20*Insurance!$C$8</f>
        <v/>
      </c>
      <c r="Z32">
        <f>Z20*Insurance!$C$8</f>
        <v/>
      </c>
      <c r="AA32">
        <f>AA20*Insurance!$C$8</f>
        <v/>
      </c>
      <c r="AB32">
        <f>AB20*Insurance!$C$8</f>
        <v/>
      </c>
      <c r="AC32">
        <f>AC20*Insurance!$C$8</f>
        <v/>
      </c>
      <c r="AD32">
        <f>AD20*Insurance!$C$8</f>
        <v/>
      </c>
      <c r="AE32">
        <f>AE20*Insurance!$C$8</f>
        <v/>
      </c>
      <c r="AF32">
        <f>AF20*Insurance!$C$8</f>
        <v/>
      </c>
      <c r="AG32">
        <f>AG20*Insurance!$C$8</f>
        <v/>
      </c>
      <c r="AH32">
        <f>AH20*Insurance!$C$8</f>
        <v/>
      </c>
      <c r="AI32">
        <f>AI20*Insurance!$C$8</f>
        <v/>
      </c>
      <c r="AJ32">
        <f>AJ20*Insurance!$C$8</f>
        <v/>
      </c>
      <c r="AK32">
        <f>AK20*Insurance!$C$8</f>
        <v/>
      </c>
      <c r="AL32">
        <f>AL20*Insurance!$C$8</f>
        <v/>
      </c>
      <c r="AM32">
        <f>AM20*Insurance!$C$8</f>
        <v/>
      </c>
      <c r="AN32">
        <f>AN20*Insurance!$C$8</f>
        <v/>
      </c>
      <c r="AO32">
        <f>AO20*Insurance!$C$8</f>
        <v/>
      </c>
      <c r="AP32">
        <f>AP20*Insurance!$C$8</f>
        <v/>
      </c>
      <c r="AQ32">
        <f>AQ20*Insurance!$C$8</f>
        <v/>
      </c>
      <c r="AR32">
        <f>AR20*Insurance!$C$8</f>
        <v/>
      </c>
      <c r="AS32">
        <f>AS20*Insurance!$C$8</f>
        <v/>
      </c>
      <c r="AT32">
        <f>AT20*Insurance!$C$8</f>
        <v/>
      </c>
      <c r="AU32">
        <f>AU20*Insurance!$C$8</f>
        <v/>
      </c>
      <c r="AV32">
        <f>AV20*Insurance!$C$8</f>
        <v/>
      </c>
      <c r="AW32">
        <f>AW20*Insurance!$C$8</f>
        <v/>
      </c>
      <c r="AX32">
        <f>AX20*Insurance!$C$8</f>
        <v/>
      </c>
      <c r="AY32">
        <f>AY20*Insurance!$C$8</f>
        <v/>
      </c>
      <c r="AZ32">
        <f>AZ20*Insurance!$C$8</f>
        <v/>
      </c>
      <c r="BA32">
        <f>BA20*Insurance!$C$8</f>
        <v/>
      </c>
      <c r="BB32">
        <f>BB20*Insurance!$C$8</f>
        <v/>
      </c>
      <c r="BC32">
        <f>BC20*Insurance!$C$8</f>
        <v/>
      </c>
      <c r="BD32">
        <f>BD20*Insurance!$C$8</f>
        <v/>
      </c>
      <c r="BE32">
        <f>BE20*Insurance!$C$8</f>
        <v/>
      </c>
      <c r="BF32">
        <f>BF20*Insurance!$C$8</f>
        <v/>
      </c>
      <c r="BG32">
        <f>BG20*Insurance!$C$8</f>
        <v/>
      </c>
      <c r="BH32">
        <f>BH20*Insurance!$C$8</f>
        <v/>
      </c>
      <c r="BI32">
        <f>BI20*Insurance!$C$8</f>
        <v/>
      </c>
      <c r="BJ32">
        <f>BJ20*Insurance!$C$8</f>
        <v/>
      </c>
      <c r="BK32">
        <f>BK20*Insurance!$C$8</f>
        <v/>
      </c>
      <c r="BL32">
        <f>BL20*Insurance!$C$8</f>
        <v/>
      </c>
      <c r="BM32">
        <f>BM20*Insurance!$C$8</f>
        <v/>
      </c>
      <c r="BN32">
        <f>BN20*Insurance!$C$8</f>
        <v/>
      </c>
      <c r="BO32">
        <f>BO20*Insurance!$C$8</f>
        <v/>
      </c>
      <c r="BP32">
        <f>BP20*Insurance!$C$8</f>
        <v/>
      </c>
      <c r="BQ32">
        <f>BQ20*Insurance!$C$8</f>
        <v/>
      </c>
      <c r="BR32">
        <f>BR20*Insurance!$C$8</f>
        <v/>
      </c>
      <c r="BS32">
        <f>BS20*Insurance!$C$8</f>
        <v/>
      </c>
      <c r="BT32">
        <f>BT20*Insurance!$C$8</f>
        <v/>
      </c>
      <c r="BU32">
        <f>BU20*Insurance!$C$8</f>
        <v/>
      </c>
      <c r="BV32">
        <f>BV20*Insurance!$C$8</f>
        <v/>
      </c>
      <c r="BW32">
        <f>BW20*Insurance!$C$8</f>
        <v/>
      </c>
      <c r="BX32">
        <f>BX20*Insurance!$C$8</f>
        <v/>
      </c>
      <c r="BY32">
        <f>BY20*Insurance!$C$8</f>
        <v/>
      </c>
      <c r="BZ32">
        <f>BZ20*Insurance!$C$8</f>
        <v/>
      </c>
      <c r="CA32">
        <f>CA20*Insurance!$C$8</f>
        <v/>
      </c>
      <c r="CB32">
        <f>CB20*Insurance!$C$8</f>
        <v/>
      </c>
      <c r="CC32">
        <f>CC20*Insurance!$C$8</f>
        <v/>
      </c>
      <c r="CD32">
        <f>CD20*Insurance!$C$8</f>
        <v/>
      </c>
      <c r="CE32">
        <f>CE20*Insurance!$C$8</f>
        <v/>
      </c>
      <c r="CF32">
        <f>CF20*Insurance!$C$8</f>
        <v/>
      </c>
      <c r="CG32">
        <f>CG20*Insurance!$C$8</f>
        <v/>
      </c>
      <c r="CH32">
        <f>CH20*Insurance!$C$8</f>
        <v/>
      </c>
    </row>
    <row r="33">
      <c r="B33" t="inlineStr">
        <is>
          <t>Expected claims ($)</t>
        </is>
      </c>
      <c r="C33">
        <f>C20*Insurance!$C$28</f>
        <v/>
      </c>
      <c r="D33">
        <f>D20*Insurance!$C$28</f>
        <v/>
      </c>
      <c r="E33">
        <f>E20*Insurance!$C$28</f>
        <v/>
      </c>
      <c r="F33">
        <f>F20*Insurance!$C$28</f>
        <v/>
      </c>
      <c r="G33">
        <f>G20*Insurance!$C$28</f>
        <v/>
      </c>
      <c r="H33">
        <f>H20*Insurance!$C$28</f>
        <v/>
      </c>
      <c r="I33">
        <f>I20*Insurance!$C$28</f>
        <v/>
      </c>
      <c r="J33">
        <f>J20*Insurance!$C$28</f>
        <v/>
      </c>
      <c r="K33">
        <f>K20*Insurance!$C$28</f>
        <v/>
      </c>
      <c r="L33">
        <f>L20*Insurance!$C$28</f>
        <v/>
      </c>
      <c r="M33">
        <f>M20*Insurance!$C$28</f>
        <v/>
      </c>
      <c r="N33">
        <f>N20*Insurance!$C$28</f>
        <v/>
      </c>
      <c r="O33">
        <f>O20*Insurance!$C$28</f>
        <v/>
      </c>
      <c r="P33">
        <f>P20*Insurance!$C$28</f>
        <v/>
      </c>
      <c r="Q33">
        <f>Q20*Insurance!$C$28</f>
        <v/>
      </c>
      <c r="R33">
        <f>R20*Insurance!$C$28</f>
        <v/>
      </c>
      <c r="S33">
        <f>S20*Insurance!$C$28</f>
        <v/>
      </c>
      <c r="T33">
        <f>T20*Insurance!$C$28</f>
        <v/>
      </c>
      <c r="U33">
        <f>U20*Insurance!$C$28</f>
        <v/>
      </c>
      <c r="V33">
        <f>V20*Insurance!$C$28</f>
        <v/>
      </c>
      <c r="W33">
        <f>W20*Insurance!$C$28</f>
        <v/>
      </c>
      <c r="X33">
        <f>X20*Insurance!$C$28</f>
        <v/>
      </c>
      <c r="Y33">
        <f>Y20*Insurance!$C$28</f>
        <v/>
      </c>
      <c r="Z33">
        <f>Z20*Insurance!$C$28</f>
        <v/>
      </c>
      <c r="AA33">
        <f>AA20*Insurance!$C$28</f>
        <v/>
      </c>
      <c r="AB33">
        <f>AB20*Insurance!$C$28</f>
        <v/>
      </c>
      <c r="AC33">
        <f>AC20*Insurance!$C$28</f>
        <v/>
      </c>
      <c r="AD33">
        <f>AD20*Insurance!$C$28</f>
        <v/>
      </c>
      <c r="AE33">
        <f>AE20*Insurance!$C$28</f>
        <v/>
      </c>
      <c r="AF33">
        <f>AF20*Insurance!$C$28</f>
        <v/>
      </c>
      <c r="AG33">
        <f>AG20*Insurance!$C$28</f>
        <v/>
      </c>
      <c r="AH33">
        <f>AH20*Insurance!$C$28</f>
        <v/>
      </c>
      <c r="AI33">
        <f>AI20*Insurance!$C$28</f>
        <v/>
      </c>
      <c r="AJ33">
        <f>AJ20*Insurance!$C$28</f>
        <v/>
      </c>
      <c r="AK33">
        <f>AK20*Insurance!$C$28</f>
        <v/>
      </c>
      <c r="AL33">
        <f>AL20*Insurance!$C$28</f>
        <v/>
      </c>
      <c r="AM33">
        <f>AM20*Insurance!$C$28</f>
        <v/>
      </c>
      <c r="AN33">
        <f>AN20*Insurance!$C$28</f>
        <v/>
      </c>
      <c r="AO33">
        <f>AO20*Insurance!$C$28</f>
        <v/>
      </c>
      <c r="AP33">
        <f>AP20*Insurance!$C$28</f>
        <v/>
      </c>
      <c r="AQ33">
        <f>AQ20*Insurance!$C$28</f>
        <v/>
      </c>
      <c r="AR33">
        <f>AR20*Insurance!$C$28</f>
        <v/>
      </c>
      <c r="AS33">
        <f>AS20*Insurance!$C$28</f>
        <v/>
      </c>
      <c r="AT33">
        <f>AT20*Insurance!$C$28</f>
        <v/>
      </c>
      <c r="AU33">
        <f>AU20*Insurance!$C$28</f>
        <v/>
      </c>
      <c r="AV33">
        <f>AV20*Insurance!$C$28</f>
        <v/>
      </c>
      <c r="AW33">
        <f>AW20*Insurance!$C$28</f>
        <v/>
      </c>
      <c r="AX33">
        <f>AX20*Insurance!$C$28</f>
        <v/>
      </c>
      <c r="AY33">
        <f>AY20*Insurance!$C$28</f>
        <v/>
      </c>
      <c r="AZ33">
        <f>AZ20*Insurance!$C$28</f>
        <v/>
      </c>
      <c r="BA33">
        <f>BA20*Insurance!$C$28</f>
        <v/>
      </c>
      <c r="BB33">
        <f>BB20*Insurance!$C$28</f>
        <v/>
      </c>
      <c r="BC33">
        <f>BC20*Insurance!$C$28</f>
        <v/>
      </c>
      <c r="BD33">
        <f>BD20*Insurance!$C$28</f>
        <v/>
      </c>
      <c r="BE33">
        <f>BE20*Insurance!$C$28</f>
        <v/>
      </c>
      <c r="BF33">
        <f>BF20*Insurance!$C$28</f>
        <v/>
      </c>
      <c r="BG33">
        <f>BG20*Insurance!$C$28</f>
        <v/>
      </c>
      <c r="BH33">
        <f>BH20*Insurance!$C$28</f>
        <v/>
      </c>
      <c r="BI33">
        <f>BI20*Insurance!$C$28</f>
        <v/>
      </c>
      <c r="BJ33">
        <f>BJ20*Insurance!$C$28</f>
        <v/>
      </c>
      <c r="BK33">
        <f>BK20*Insurance!$C$28</f>
        <v/>
      </c>
      <c r="BL33">
        <f>BL20*Insurance!$C$28</f>
        <v/>
      </c>
      <c r="BM33">
        <f>BM20*Insurance!$C$28</f>
        <v/>
      </c>
      <c r="BN33">
        <f>BN20*Insurance!$C$28</f>
        <v/>
      </c>
      <c r="BO33">
        <f>BO20*Insurance!$C$28</f>
        <v/>
      </c>
      <c r="BP33">
        <f>BP20*Insurance!$C$28</f>
        <v/>
      </c>
      <c r="BQ33">
        <f>BQ20*Insurance!$C$28</f>
        <v/>
      </c>
      <c r="BR33">
        <f>BR20*Insurance!$C$28</f>
        <v/>
      </c>
      <c r="BS33">
        <f>BS20*Insurance!$C$28</f>
        <v/>
      </c>
      <c r="BT33">
        <f>BT20*Insurance!$C$28</f>
        <v/>
      </c>
      <c r="BU33">
        <f>BU20*Insurance!$C$28</f>
        <v/>
      </c>
      <c r="BV33">
        <f>BV20*Insurance!$C$28</f>
        <v/>
      </c>
      <c r="BW33">
        <f>BW20*Insurance!$C$28</f>
        <v/>
      </c>
      <c r="BX33">
        <f>BX20*Insurance!$C$28</f>
        <v/>
      </c>
      <c r="BY33">
        <f>BY20*Insurance!$C$28</f>
        <v/>
      </c>
      <c r="BZ33">
        <f>BZ20*Insurance!$C$28</f>
        <v/>
      </c>
      <c r="CA33">
        <f>CA20*Insurance!$C$28</f>
        <v/>
      </c>
      <c r="CB33">
        <f>CB20*Insurance!$C$28</f>
        <v/>
      </c>
      <c r="CC33">
        <f>CC20*Insurance!$C$28</f>
        <v/>
      </c>
      <c r="CD33">
        <f>CD20*Insurance!$C$28</f>
        <v/>
      </c>
      <c r="CE33">
        <f>CE20*Insurance!$C$28</f>
        <v/>
      </c>
      <c r="CF33">
        <f>CF20*Insurance!$C$28</f>
        <v/>
      </c>
      <c r="CG33">
        <f>CG20*Insurance!$C$28</f>
        <v/>
      </c>
      <c r="CH33">
        <f>CH20*Insurance!$C$28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28"/>
  <sheetViews>
    <sheetView workbookViewId="0">
      <selection activeCell="A1" sqref="A1"/>
    </sheetView>
  </sheetViews>
  <sheetFormatPr baseColWidth="8" defaultRowHeight="15"/>
  <cols>
    <col width="5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2">
      <c r="B2" s="1" t="inlineStr">
        <is>
          <t>INSURANCE — WHY THE COVER WORKS</t>
        </is>
      </c>
    </row>
    <row r="3">
      <c r="B3" t="inlineStr">
        <is>
          <t>Premium is collected on the same swing that creates the risk. Source: GetLucky_Insurance_Model.xlsx (Santam submission).</t>
        </is>
      </c>
    </row>
    <row r="5">
      <c r="B5" t="inlineStr">
        <is>
          <t>Premium (% of entry)</t>
        </is>
      </c>
      <c r="C5" s="3" t="n">
        <v>0.24</v>
      </c>
    </row>
    <row r="6">
      <c r="B6" t="inlineStr">
        <is>
          <t>Cover (% of prize)</t>
        </is>
      </c>
      <c r="C6" s="3" t="n">
        <v>1</v>
      </c>
    </row>
    <row r="7">
      <c r="B7" t="inlineStr">
        <is>
          <t>Broker commission to Indwe (% of premium)</t>
        </is>
      </c>
      <c r="C7" s="3" t="n">
        <v>0.2</v>
      </c>
    </row>
    <row r="8">
      <c r="B8" t="inlineStr">
        <is>
          <t>Per-attempt ace probability</t>
        </is>
      </c>
      <c r="C8" s="3" t="n">
        <v>8.000000000000001e-05</v>
      </c>
    </row>
    <row r="9">
      <c r="B9" t="inlineStr">
        <is>
          <t>Implied odds — 1 in X</t>
        </is>
      </c>
      <c r="C9" s="3">
        <f>1/C8</f>
        <v/>
      </c>
    </row>
    <row r="11">
      <c r="B11" s="2" t="inlineStr">
        <is>
          <t>TIER LADDER</t>
        </is>
      </c>
    </row>
    <row r="12">
      <c r="B12" t="inlineStr">
        <is>
          <t>Tier</t>
        </is>
      </c>
      <c r="C12" t="inlineStr">
        <is>
          <t>Entry ($)</t>
        </is>
      </c>
      <c r="D12" t="inlineStr">
        <is>
          <t>Prize ($)</t>
        </is>
      </c>
      <c r="E12" t="inlineStr">
        <is>
          <t>Mix</t>
        </is>
      </c>
      <c r="F12" t="inlineStr">
        <is>
          <t>Premium/entry</t>
        </is>
      </c>
      <c r="G12" t="inlineStr">
        <is>
          <t>Exp. claim/entry</t>
        </is>
      </c>
      <c r="H12" t="inlineStr">
        <is>
          <t>Loss ratio</t>
        </is>
      </c>
    </row>
    <row r="13">
      <c r="B13" t="inlineStr">
        <is>
          <t>Tier 1</t>
        </is>
      </c>
      <c r="C13" s="3" t="n">
        <v>1</v>
      </c>
      <c r="D13" s="3" t="n">
        <v>500</v>
      </c>
      <c r="E13" s="3" t="n">
        <v>0.25</v>
      </c>
      <c r="F13">
        <f>C13*$C$5</f>
        <v/>
      </c>
      <c r="G13">
        <f>D13*$C$8*$C$6</f>
        <v/>
      </c>
      <c r="H13">
        <f>G13/F13</f>
        <v/>
      </c>
    </row>
    <row r="14">
      <c r="B14" t="inlineStr">
        <is>
          <t>Tier 2</t>
        </is>
      </c>
      <c r="C14" s="3" t="n">
        <v>5</v>
      </c>
      <c r="D14" s="3" t="n">
        <v>2500</v>
      </c>
      <c r="E14" s="3" t="n">
        <v>0.25</v>
      </c>
      <c r="F14">
        <f>C14*$C$5</f>
        <v/>
      </c>
      <c r="G14">
        <f>D14*$C$8*$C$6</f>
        <v/>
      </c>
      <c r="H14">
        <f>G14/F14</f>
        <v/>
      </c>
    </row>
    <row r="15">
      <c r="B15" t="inlineStr">
        <is>
          <t>Tier 3</t>
        </is>
      </c>
      <c r="C15" s="3" t="n">
        <v>10</v>
      </c>
      <c r="D15" s="3" t="n">
        <v>10000</v>
      </c>
      <c r="E15" s="3" t="n">
        <v>0.3</v>
      </c>
      <c r="F15">
        <f>C15*$C$5</f>
        <v/>
      </c>
      <c r="G15">
        <f>D15*$C$8*$C$6</f>
        <v/>
      </c>
      <c r="H15">
        <f>G15/F15</f>
        <v/>
      </c>
    </row>
    <row r="16">
      <c r="B16" t="inlineStr">
        <is>
          <t>Tier 4</t>
        </is>
      </c>
      <c r="C16" s="3" t="n">
        <v>50</v>
      </c>
      <c r="D16" s="3" t="n">
        <v>50000</v>
      </c>
      <c r="E16" s="3" t="n">
        <v>0.15</v>
      </c>
      <c r="F16">
        <f>C16*$C$5</f>
        <v/>
      </c>
      <c r="G16">
        <f>D16*$C$8*$C$6</f>
        <v/>
      </c>
      <c r="H16">
        <f>G16/F16</f>
        <v/>
      </c>
    </row>
    <row r="17">
      <c r="B17" t="inlineStr">
        <is>
          <t>Tier 5</t>
        </is>
      </c>
      <c r="C17" s="3" t="n">
        <v>100</v>
      </c>
      <c r="D17" s="3" t="n">
        <v>100000</v>
      </c>
      <c r="E17" s="3" t="n">
        <v>0.05</v>
      </c>
      <c r="F17">
        <f>C17*$C$5</f>
        <v/>
      </c>
      <c r="G17">
        <f>D17*$C$8*$C$6</f>
        <v/>
      </c>
      <c r="H17">
        <f>G17/F17</f>
        <v/>
      </c>
    </row>
    <row r="18">
      <c r="B18" s="2" t="inlineStr">
        <is>
          <t>Weighted average</t>
        </is>
      </c>
      <c r="C18">
        <f>SUMPRODUCT($E$13:$E$17,C13:C17)</f>
        <v/>
      </c>
      <c r="D18">
        <f>SUMPRODUCT($E$13:$E$17,D13:D17)</f>
        <v/>
      </c>
      <c r="E18">
        <f>SUM(E13:E17)</f>
        <v/>
      </c>
      <c r="F18">
        <f>SUMPRODUCT($E$13:$E$17,F13:F17)</f>
        <v/>
      </c>
      <c r="G18">
        <f>SUMPRODUCT($E$13:$E$17,G13:G17)</f>
        <v/>
      </c>
      <c r="H18">
        <f>G18/F18</f>
        <v/>
      </c>
    </row>
    <row r="20">
      <c r="B20" t="inlineStr">
        <is>
          <t>Loss ratio (claims / premium)</t>
        </is>
      </c>
      <c r="C20">
        <f>H18</f>
        <v/>
      </c>
    </row>
    <row r="21">
      <c r="B21" t="inlineStr">
        <is>
          <t>Combined ratio (incl. brokerage)</t>
        </is>
      </c>
      <c r="C21">
        <f>(G18+F18*C7)/F18</f>
        <v/>
      </c>
    </row>
    <row r="22">
      <c r="B22" t="inlineStr">
        <is>
          <t>Breakeven ace frequency multiple</t>
        </is>
      </c>
      <c r="C22">
        <f>(F18*(1-C7))/G18</f>
        <v/>
      </c>
    </row>
    <row r="23">
      <c r="B23" s="4" t="inlineStr">
        <is>
          <t>Aces must run this much more often before cover loses money.</t>
        </is>
      </c>
    </row>
    <row r="24">
      <c r="B24" t="inlineStr">
        <is>
          <t>Largest single-event exposure ($)</t>
        </is>
      </c>
      <c r="C24">
        <f>MAX(D13:D17)</f>
        <v/>
      </c>
    </row>
    <row r="26">
      <c r="B26" s="2" t="inlineStr">
        <is>
          <t>NOT BOUND: this is the submitted structure. No revised policy is bound on these terms as at August 2026.</t>
        </is>
      </c>
    </row>
    <row r="28">
      <c r="B28" t="inlineStr">
        <is>
          <t>Expected claim per entry ($) — weighted</t>
        </is>
      </c>
      <c r="C28">
        <f>G18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I36"/>
  <sheetViews>
    <sheetView workbookViewId="0">
      <selection activeCell="A1" sqref="A1"/>
    </sheetView>
  </sheetViews>
  <sheetFormatPr baseColWidth="8" defaultRowHeight="15"/>
  <cols>
    <col width="48" customWidth="1" min="2" max="2"/>
  </cols>
  <sheetData>
    <row r="2">
      <c r="B2" s="1" t="inlineStr">
        <is>
          <t>ANNUAL ROLL-UP (ZAR)</t>
        </is>
      </c>
    </row>
    <row r="3">
      <c r="B3" t="inlineStr">
        <is>
          <t>Calendar-year totals from the monthly build. Not run-rate annualised.</t>
        </is>
      </c>
    </row>
    <row r="5">
      <c r="C5" s="2" t="n">
        <v>2026</v>
      </c>
      <c r="D5" s="2" t="n">
        <v>2027</v>
      </c>
      <c r="E5" s="2" t="n">
        <v>2028</v>
      </c>
      <c r="F5" s="2" t="n">
        <v>2029</v>
      </c>
      <c r="G5" s="2" t="n">
        <v>2030</v>
      </c>
      <c r="H5" s="2" t="n">
        <v>2031</v>
      </c>
      <c r="I5" s="2" t="n">
        <v>2032</v>
      </c>
    </row>
    <row r="6">
      <c r="B6" t="inlineStr">
        <is>
          <t>Closing members</t>
        </is>
      </c>
      <c r="C6">
        <f>'Build (Monthly)'!N15</f>
        <v/>
      </c>
      <c r="D6">
        <f>'Build (Monthly)'!Z15</f>
        <v/>
      </c>
      <c r="E6">
        <f>'Build (Monthly)'!AL15</f>
        <v/>
      </c>
      <c r="F6">
        <f>'Build (Monthly)'!AX15</f>
        <v/>
      </c>
      <c r="G6">
        <f>'Build (Monthly)'!BJ15</f>
        <v/>
      </c>
      <c r="H6">
        <f>'Build (Monthly)'!BV15</f>
        <v/>
      </c>
      <c r="I6">
        <f>'Build (Monthly)'!CH15</f>
        <v/>
      </c>
    </row>
    <row r="7">
      <c r="B7" t="inlineStr">
        <is>
          <t>Paid entries</t>
        </is>
      </c>
      <c r="C7">
        <f>SUMIF('Build (Monthly)'!$C$6:$CH$6,C$5,'Build (Monthly)'!$C$20:$CH$20)</f>
        <v/>
      </c>
      <c r="D7">
        <f>SUMIF('Build (Monthly)'!$C$6:$CH$6,D$5,'Build (Monthly)'!$C$20:$CH$20)</f>
        <v/>
      </c>
      <c r="E7">
        <f>SUMIF('Build (Monthly)'!$C$6:$CH$6,E$5,'Build (Monthly)'!$C$20:$CH$20)</f>
        <v/>
      </c>
      <c r="F7">
        <f>SUMIF('Build (Monthly)'!$C$6:$CH$6,F$5,'Build (Monthly)'!$C$20:$CH$20)</f>
        <v/>
      </c>
      <c r="G7">
        <f>SUMIF('Build (Monthly)'!$C$6:$CH$6,G$5,'Build (Monthly)'!$C$20:$CH$20)</f>
        <v/>
      </c>
      <c r="H7">
        <f>SUMIF('Build (Monthly)'!$C$6:$CH$6,H$5,'Build (Monthly)'!$C$20:$CH$20)</f>
        <v/>
      </c>
      <c r="I7">
        <f>SUMIF('Build (Monthly)'!$C$6:$CH$6,I$5,'Build (Monthly)'!$C$20:$CH$20)</f>
        <v/>
      </c>
    </row>
    <row r="9">
      <c r="B9" t="inlineStr">
        <is>
          <t>REVENUE — net of third-party shares</t>
        </is>
      </c>
    </row>
    <row r="10">
      <c r="B10" t="inlineStr">
        <is>
          <t>Membership</t>
        </is>
      </c>
      <c r="C10">
        <f>SUMIF('Build (Monthly)'!$C$6:$CH$6,C$5,'Build (Monthly)'!$C$27:$CH$27)*Assumptions!$C$6</f>
        <v/>
      </c>
      <c r="D10">
        <f>SUMIF('Build (Monthly)'!$C$6:$CH$6,D$5,'Build (Monthly)'!$C$27:$CH$27)*Assumptions!$C$6</f>
        <v/>
      </c>
      <c r="E10">
        <f>SUMIF('Build (Monthly)'!$C$6:$CH$6,E$5,'Build (Monthly)'!$C$27:$CH$27)*Assumptions!$C$6</f>
        <v/>
      </c>
      <c r="F10">
        <f>SUMIF('Build (Monthly)'!$C$6:$CH$6,F$5,'Build (Monthly)'!$C$27:$CH$27)*Assumptions!$C$6</f>
        <v/>
      </c>
      <c r="G10">
        <f>SUMIF('Build (Monthly)'!$C$6:$CH$6,G$5,'Build (Monthly)'!$C$27:$CH$27)*Assumptions!$C$6</f>
        <v/>
      </c>
      <c r="H10">
        <f>SUMIF('Build (Monthly)'!$C$6:$CH$6,H$5,'Build (Monthly)'!$C$27:$CH$27)*Assumptions!$C$6</f>
        <v/>
      </c>
      <c r="I10">
        <f>SUMIF('Build (Monthly)'!$C$6:$CH$6,I$5,'Build (Monthly)'!$C$27:$CH$27)*Assumptions!$C$6</f>
        <v/>
      </c>
    </row>
    <row r="11">
      <c r="B11" t="inlineStr">
        <is>
          <t>Pay-per-play</t>
        </is>
      </c>
      <c r="C11">
        <f>SUMIF('Build (Monthly)'!$C$6:$CH$6,C$5,'Build (Monthly)'!$C$28:$CH$28)*Assumptions!$C$6</f>
        <v/>
      </c>
      <c r="D11">
        <f>SUMIF('Build (Monthly)'!$C$6:$CH$6,D$5,'Build (Monthly)'!$C$28:$CH$28)*Assumptions!$C$6</f>
        <v/>
      </c>
      <c r="E11">
        <f>SUMIF('Build (Monthly)'!$C$6:$CH$6,E$5,'Build (Monthly)'!$C$28:$CH$28)*Assumptions!$C$6</f>
        <v/>
      </c>
      <c r="F11">
        <f>SUMIF('Build (Monthly)'!$C$6:$CH$6,F$5,'Build (Monthly)'!$C$28:$CH$28)*Assumptions!$C$6</f>
        <v/>
      </c>
      <c r="G11">
        <f>SUMIF('Build (Monthly)'!$C$6:$CH$6,G$5,'Build (Monthly)'!$C$28:$CH$28)*Assumptions!$C$6</f>
        <v/>
      </c>
      <c r="H11">
        <f>SUMIF('Build (Monthly)'!$C$6:$CH$6,H$5,'Build (Monthly)'!$C$28:$CH$28)*Assumptions!$C$6</f>
        <v/>
      </c>
      <c r="I11">
        <f>SUMIF('Build (Monthly)'!$C$6:$CH$6,I$5,'Build (Monthly)'!$C$28:$CH$28)*Assumptions!$C$6</f>
        <v/>
      </c>
    </row>
    <row r="12">
      <c r="B12" t="inlineStr">
        <is>
          <t>In-play upsells</t>
        </is>
      </c>
      <c r="C12">
        <f>SUMIF('Build (Monthly)'!$C$6:$CH$6,C$5,'Build (Monthly)'!$C$29:$CH$29)*Assumptions!$C$6</f>
        <v/>
      </c>
      <c r="D12">
        <f>SUMIF('Build (Monthly)'!$C$6:$CH$6,D$5,'Build (Monthly)'!$C$29:$CH$29)*Assumptions!$C$6</f>
        <v/>
      </c>
      <c r="E12">
        <f>SUMIF('Build (Monthly)'!$C$6:$CH$6,E$5,'Build (Monthly)'!$C$29:$CH$29)*Assumptions!$C$6</f>
        <v/>
      </c>
      <c r="F12">
        <f>SUMIF('Build (Monthly)'!$C$6:$CH$6,F$5,'Build (Monthly)'!$C$29:$CH$29)*Assumptions!$C$6</f>
        <v/>
      </c>
      <c r="G12">
        <f>SUMIF('Build (Monthly)'!$C$6:$CH$6,G$5,'Build (Monthly)'!$C$29:$CH$29)*Assumptions!$C$6</f>
        <v/>
      </c>
      <c r="H12">
        <f>SUMIF('Build (Monthly)'!$C$6:$CH$6,H$5,'Build (Monthly)'!$C$29:$CH$29)*Assumptions!$C$6</f>
        <v/>
      </c>
      <c r="I12">
        <f>SUMIF('Build (Monthly)'!$C$6:$CH$6,I$5,'Build (Monthly)'!$C$29:$CH$29)*Assumptions!$C$6</f>
        <v/>
      </c>
    </row>
    <row r="13">
      <c r="B13" t="inlineStr">
        <is>
          <t>Simulators</t>
        </is>
      </c>
      <c r="C13" t="n">
        <v>0</v>
      </c>
      <c r="D13" t="n">
        <v>2399820</v>
      </c>
      <c r="E13" t="n">
        <v>6399520</v>
      </c>
      <c r="F13" t="n">
        <v>11999100</v>
      </c>
      <c r="G13" t="n">
        <v>16000000</v>
      </c>
      <c r="H13" t="n">
        <v>22000000</v>
      </c>
      <c r="I13" t="n">
        <v>31997600</v>
      </c>
    </row>
    <row r="14">
      <c r="B14" t="inlineStr">
        <is>
          <t>Sponsorship</t>
        </is>
      </c>
      <c r="C14" t="n">
        <v>2500000</v>
      </c>
      <c r="D14" t="n">
        <v>3000000</v>
      </c>
      <c r="E14" t="n">
        <v>3500000</v>
      </c>
      <c r="F14" t="n">
        <v>5500000</v>
      </c>
      <c r="G14" t="n">
        <v>8500000</v>
      </c>
      <c r="H14" t="n">
        <v>10500000</v>
      </c>
      <c r="I14" t="n">
        <v>12500000</v>
      </c>
    </row>
    <row r="15">
      <c r="B15" s="2" t="inlineStr">
        <is>
          <t>TOTAL REVENUE</t>
        </is>
      </c>
      <c r="C15">
        <f>SUM(C10:C14)</f>
        <v/>
      </c>
      <c r="D15">
        <f>SUM(D10:D14)</f>
        <v/>
      </c>
      <c r="E15">
        <f>SUM(E10:E14)</f>
        <v/>
      </c>
      <c r="F15">
        <f>SUM(F10:F14)</f>
        <v/>
      </c>
      <c r="G15">
        <f>SUM(G10:G14)</f>
        <v/>
      </c>
      <c r="H15">
        <f>SUM(H10:H14)</f>
        <v/>
      </c>
      <c r="I15">
        <f>SUM(I10:I14)</f>
        <v/>
      </c>
    </row>
    <row r="17">
      <c r="B17" s="2" t="inlineStr">
        <is>
          <t>COST</t>
        </is>
      </c>
    </row>
    <row r="18">
      <c r="B18" t="inlineStr">
        <is>
          <t>Payment processing</t>
        </is>
      </c>
      <c r="C18">
        <f>(SUMIF('Build (Monthly)'!$C$6:$CH$6,C$5,'Build (Monthly)'!$C$27:$CH$27)+SUMIF('Build (Monthly)'!$C$6:$CH$6,C$5,'Build (Monthly)'!$C$21:$CH$21)+SUMIF('Build (Monthly)'!$C$6:$CH$6,C$5,'Build (Monthly)'!$C$20:$CH$20)*Assumptions!$C$33*Assumptions!$C$34)*Assumptions!$C$6*Assumptions!$C$38</f>
        <v/>
      </c>
      <c r="D18">
        <f>(SUMIF('Build (Monthly)'!$C$6:$CH$6,D$5,'Build (Monthly)'!$C$27:$CH$27)+SUMIF('Build (Monthly)'!$C$6:$CH$6,D$5,'Build (Monthly)'!$C$21:$CH$21)+SUMIF('Build (Monthly)'!$C$6:$CH$6,D$5,'Build (Monthly)'!$C$20:$CH$20)*Assumptions!$C$33*Assumptions!$C$34)*Assumptions!$C$6*Assumptions!$C$38</f>
        <v/>
      </c>
      <c r="E18">
        <f>(SUMIF('Build (Monthly)'!$C$6:$CH$6,E$5,'Build (Monthly)'!$C$27:$CH$27)+SUMIF('Build (Monthly)'!$C$6:$CH$6,E$5,'Build (Monthly)'!$C$21:$CH$21)+SUMIF('Build (Monthly)'!$C$6:$CH$6,E$5,'Build (Monthly)'!$C$20:$CH$20)*Assumptions!$C$33*Assumptions!$C$34)*Assumptions!$C$6*Assumptions!$C$38</f>
        <v/>
      </c>
      <c r="F18">
        <f>(SUMIF('Build (Monthly)'!$C$6:$CH$6,F$5,'Build (Monthly)'!$C$27:$CH$27)+SUMIF('Build (Monthly)'!$C$6:$CH$6,F$5,'Build (Monthly)'!$C$21:$CH$21)+SUMIF('Build (Monthly)'!$C$6:$CH$6,F$5,'Build (Monthly)'!$C$20:$CH$20)*Assumptions!$C$33*Assumptions!$C$34)*Assumptions!$C$6*Assumptions!$C$38</f>
        <v/>
      </c>
      <c r="G18">
        <f>(SUMIF('Build (Monthly)'!$C$6:$CH$6,G$5,'Build (Monthly)'!$C$27:$CH$27)+SUMIF('Build (Monthly)'!$C$6:$CH$6,G$5,'Build (Monthly)'!$C$21:$CH$21)+SUMIF('Build (Monthly)'!$C$6:$CH$6,G$5,'Build (Monthly)'!$C$20:$CH$20)*Assumptions!$C$33*Assumptions!$C$34)*Assumptions!$C$6*Assumptions!$C$38</f>
        <v/>
      </c>
      <c r="H18">
        <f>(SUMIF('Build (Monthly)'!$C$6:$CH$6,H$5,'Build (Monthly)'!$C$27:$CH$27)+SUMIF('Build (Monthly)'!$C$6:$CH$6,H$5,'Build (Monthly)'!$C$21:$CH$21)+SUMIF('Build (Monthly)'!$C$6:$CH$6,H$5,'Build (Monthly)'!$C$20:$CH$20)*Assumptions!$C$33*Assumptions!$C$34)*Assumptions!$C$6*Assumptions!$C$38</f>
        <v/>
      </c>
      <c r="I18">
        <f>(SUMIF('Build (Monthly)'!$C$6:$CH$6,I$5,'Build (Monthly)'!$C$27:$CH$27)+SUMIF('Build (Monthly)'!$C$6:$CH$6,I$5,'Build (Monthly)'!$C$21:$CH$21)+SUMIF('Build (Monthly)'!$C$6:$CH$6,I$5,'Build (Monthly)'!$C$20:$CH$20)*Assumptions!$C$33*Assumptions!$C$34)*Assumptions!$C$6*Assumptions!$C$38</f>
        <v/>
      </c>
    </row>
    <row r="19">
      <c r="B19" t="inlineStr">
        <is>
          <t>Verification &amp; claims ops</t>
        </is>
      </c>
      <c r="C19">
        <f>SUMIF('Build (Monthly)'!$C$6:$CH$6,C$5,'Build (Monthly)'!$C$20:$CH$20)*Assumptions!$C$39*Assumptions!$C$6</f>
        <v/>
      </c>
      <c r="D19">
        <f>SUMIF('Build (Monthly)'!$C$6:$CH$6,D$5,'Build (Monthly)'!$C$20:$CH$20)*Assumptions!$C$39*Assumptions!$C$6</f>
        <v/>
      </c>
      <c r="E19">
        <f>SUMIF('Build (Monthly)'!$C$6:$CH$6,E$5,'Build (Monthly)'!$C$20:$CH$20)*Assumptions!$C$39*Assumptions!$C$6</f>
        <v/>
      </c>
      <c r="F19">
        <f>SUMIF('Build (Monthly)'!$C$6:$CH$6,F$5,'Build (Monthly)'!$C$20:$CH$20)*Assumptions!$C$39*Assumptions!$C$6</f>
        <v/>
      </c>
      <c r="G19">
        <f>SUMIF('Build (Monthly)'!$C$6:$CH$6,G$5,'Build (Monthly)'!$C$20:$CH$20)*Assumptions!$C$39*Assumptions!$C$6</f>
        <v/>
      </c>
      <c r="H19">
        <f>SUMIF('Build (Monthly)'!$C$6:$CH$6,H$5,'Build (Monthly)'!$C$20:$CH$20)*Assumptions!$C$39*Assumptions!$C$6</f>
        <v/>
      </c>
      <c r="I19">
        <f>SUMIF('Build (Monthly)'!$C$6:$CH$6,I$5,'Build (Monthly)'!$C$20:$CH$20)*Assumptions!$C$39*Assumptions!$C$6</f>
        <v/>
      </c>
    </row>
    <row r="20">
      <c r="B20" t="inlineStr">
        <is>
          <t>Acquisition (CAC)</t>
        </is>
      </c>
      <c r="C20">
        <f>(SUMIF('Build (Monthly)'!$C$6:$CH$6,C$5,'Build (Monthly)'!$C$12:$CH$12)+SUMIF('Build (Monthly)'!$C$6:$CH$6,C$5,'Build (Monthly)'!$C$13:$CH$13))*Assumptions!$C$40*Assumptions!$C$6</f>
        <v/>
      </c>
      <c r="D20">
        <f>(SUMIF('Build (Monthly)'!$C$6:$CH$6,D$5,'Build (Monthly)'!$C$12:$CH$12)+SUMIF('Build (Monthly)'!$C$6:$CH$6,D$5,'Build (Monthly)'!$C$13:$CH$13))*Assumptions!$C$40*Assumptions!$C$6</f>
        <v/>
      </c>
      <c r="E20">
        <f>(SUMIF('Build (Monthly)'!$C$6:$CH$6,E$5,'Build (Monthly)'!$C$12:$CH$12)+SUMIF('Build (Monthly)'!$C$6:$CH$6,E$5,'Build (Monthly)'!$C$13:$CH$13))*Assumptions!$C$40*Assumptions!$C$6</f>
        <v/>
      </c>
      <c r="F20">
        <f>(SUMIF('Build (Monthly)'!$C$6:$CH$6,F$5,'Build (Monthly)'!$C$12:$CH$12)+SUMIF('Build (Monthly)'!$C$6:$CH$6,F$5,'Build (Monthly)'!$C$13:$CH$13))*Assumptions!$C$40*Assumptions!$C$6</f>
        <v/>
      </c>
      <c r="G20">
        <f>(SUMIF('Build (Monthly)'!$C$6:$CH$6,G$5,'Build (Monthly)'!$C$12:$CH$12)+SUMIF('Build (Monthly)'!$C$6:$CH$6,G$5,'Build (Monthly)'!$C$13:$CH$13))*Assumptions!$C$40*Assumptions!$C$6</f>
        <v/>
      </c>
      <c r="H20">
        <f>(SUMIF('Build (Monthly)'!$C$6:$CH$6,H$5,'Build (Monthly)'!$C$12:$CH$12)+SUMIF('Build (Monthly)'!$C$6:$CH$6,H$5,'Build (Monthly)'!$C$13:$CH$13))*Assumptions!$C$40*Assumptions!$C$6</f>
        <v/>
      </c>
      <c r="I20">
        <f>(SUMIF('Build (Monthly)'!$C$6:$CH$6,I$5,'Build (Monthly)'!$C$12:$CH$12)+SUMIF('Build (Monthly)'!$C$6:$CH$6,I$5,'Build (Monthly)'!$C$13:$CH$13))*Assumptions!$C$40*Assumptions!$C$6</f>
        <v/>
      </c>
    </row>
    <row r="21">
      <c r="B21" t="inlineStr">
        <is>
          <t>Brand &amp; retention</t>
        </is>
      </c>
      <c r="C21">
        <f>C15*Assumptions!$C$41</f>
        <v/>
      </c>
      <c r="D21">
        <f>D15*Assumptions!$C$41</f>
        <v/>
      </c>
      <c r="E21">
        <f>E15*Assumptions!$C$41</f>
        <v/>
      </c>
      <c r="F21">
        <f>F15*Assumptions!$C$41</f>
        <v/>
      </c>
      <c r="G21">
        <f>G15*Assumptions!$C$41</f>
        <v/>
      </c>
      <c r="H21">
        <f>H15*Assumptions!$C$41</f>
        <v/>
      </c>
      <c r="I21">
        <f>I15*Assumptions!$C$41</f>
        <v/>
      </c>
    </row>
    <row r="22">
      <c r="B22" t="inlineStr">
        <is>
          <t>Central budget</t>
        </is>
      </c>
      <c r="C22" t="n">
        <v>9500000</v>
      </c>
      <c r="D22" t="n">
        <v>18000000</v>
      </c>
      <c r="E22" t="n">
        <v>28000000</v>
      </c>
      <c r="F22" t="n">
        <v>38000000</v>
      </c>
      <c r="G22" t="n">
        <v>49000000</v>
      </c>
      <c r="H22" t="n">
        <v>60000000</v>
      </c>
      <c r="I22" t="n">
        <v>72000000</v>
      </c>
    </row>
    <row r="23">
      <c r="B23" s="2" t="inlineStr">
        <is>
          <t>TOTAL COST</t>
        </is>
      </c>
      <c r="C23">
        <f>SUM(C18:C22)</f>
        <v/>
      </c>
      <c r="D23">
        <f>SUM(D18:D22)</f>
        <v/>
      </c>
      <c r="E23">
        <f>SUM(E18:E22)</f>
        <v/>
      </c>
      <c r="F23">
        <f>SUM(F18:F22)</f>
        <v/>
      </c>
      <c r="G23">
        <f>SUM(G18:G22)</f>
        <v/>
      </c>
      <c r="H23">
        <f>SUM(H18:H22)</f>
        <v/>
      </c>
      <c r="I23">
        <f>SUM(I18:I22)</f>
        <v/>
      </c>
    </row>
    <row r="25">
      <c r="B25" s="2" t="inlineStr">
        <is>
          <t>EBITDA</t>
        </is>
      </c>
      <c r="C25">
        <f>C15-C23</f>
        <v/>
      </c>
      <c r="D25">
        <f>D15-D23</f>
        <v/>
      </c>
      <c r="E25">
        <f>E15-E23</f>
        <v/>
      </c>
      <c r="F25">
        <f>F15-F23</f>
        <v/>
      </c>
      <c r="G25">
        <f>G15-G23</f>
        <v/>
      </c>
      <c r="H25">
        <f>H15-H23</f>
        <v/>
      </c>
      <c r="I25">
        <f>I15-I23</f>
        <v/>
      </c>
    </row>
    <row r="26">
      <c r="B26" t="inlineStr">
        <is>
          <t>EBITDA margin</t>
        </is>
      </c>
      <c r="C26">
        <f>C25/C15</f>
        <v/>
      </c>
      <c r="D26">
        <f>D25/D15</f>
        <v/>
      </c>
      <c r="E26">
        <f>E25/E15</f>
        <v/>
      </c>
      <c r="F26">
        <f>F25/F15</f>
        <v/>
      </c>
      <c r="G26">
        <f>G25/G15</f>
        <v/>
      </c>
      <c r="H26">
        <f>H25/H15</f>
        <v/>
      </c>
      <c r="I26">
        <f>I25/I15</f>
        <v/>
      </c>
    </row>
    <row r="28">
      <c r="B28" t="inlineStr">
        <is>
          <t>Capex</t>
        </is>
      </c>
      <c r="C28" t="n">
        <v>4000000</v>
      </c>
      <c r="D28" t="n">
        <v>3500000</v>
      </c>
      <c r="E28" t="n">
        <v>3000000</v>
      </c>
      <c r="F28" t="n">
        <v>2200000</v>
      </c>
      <c r="G28" t="n">
        <v>1800000</v>
      </c>
      <c r="H28" t="n">
        <v>1600000</v>
      </c>
      <c r="I28" t="n">
        <v>1500000</v>
      </c>
    </row>
    <row r="29">
      <c r="B29" t="inlineStr">
        <is>
          <t>Free cash flow</t>
        </is>
      </c>
      <c r="C29">
        <f>C25-C28</f>
        <v/>
      </c>
      <c r="D29">
        <f>D25-D28</f>
        <v/>
      </c>
      <c r="E29">
        <f>E25-E28</f>
        <v/>
      </c>
      <c r="F29">
        <f>F25-F28</f>
        <v/>
      </c>
      <c r="G29">
        <f>G25-G28</f>
        <v/>
      </c>
      <c r="H29">
        <f>H25-H28</f>
        <v/>
      </c>
      <c r="I29">
        <f>I25-I28</f>
        <v/>
      </c>
    </row>
    <row r="30">
      <c r="B30" t="inlineStr">
        <is>
          <t>Cumulative cash</t>
        </is>
      </c>
      <c r="C30">
        <f>C29</f>
        <v/>
      </c>
      <c r="D30">
        <f>C30+D29</f>
        <v/>
      </c>
      <c r="E30">
        <f>D30+E29</f>
        <v/>
      </c>
      <c r="F30">
        <f>E30+F29</f>
        <v/>
      </c>
      <c r="G30">
        <f>F30+G29</f>
        <v/>
      </c>
      <c r="H30">
        <f>G30+H29</f>
        <v/>
      </c>
      <c r="I30">
        <f>H30+I29</f>
        <v/>
      </c>
    </row>
    <row r="32">
      <c r="B32" s="2" t="inlineStr">
        <is>
          <t>MEMO — what the insurer sees</t>
        </is>
      </c>
    </row>
    <row r="33">
      <c r="B33" t="inlineStr">
        <is>
          <t>Gross entry value</t>
        </is>
      </c>
      <c r="C33">
        <f>SUMIF('Build (Monthly)'!$C$6:$CH$6,C$5,'Build (Monthly)'!$C$21:$CH$21)*Assumptions!$C$6</f>
        <v/>
      </c>
      <c r="D33">
        <f>SUMIF('Build (Monthly)'!$C$6:$CH$6,D$5,'Build (Monthly)'!$C$21:$CH$21)*Assumptions!$C$6</f>
        <v/>
      </c>
      <c r="E33">
        <f>SUMIF('Build (Monthly)'!$C$6:$CH$6,E$5,'Build (Monthly)'!$C$21:$CH$21)*Assumptions!$C$6</f>
        <v/>
      </c>
      <c r="F33">
        <f>SUMIF('Build (Monthly)'!$C$6:$CH$6,F$5,'Build (Monthly)'!$C$21:$CH$21)*Assumptions!$C$6</f>
        <v/>
      </c>
      <c r="G33">
        <f>SUMIF('Build (Monthly)'!$C$6:$CH$6,G$5,'Build (Monthly)'!$C$21:$CH$21)*Assumptions!$C$6</f>
        <v/>
      </c>
      <c r="H33">
        <f>SUMIF('Build (Monthly)'!$C$6:$CH$6,H$5,'Build (Monthly)'!$C$21:$CH$21)*Assumptions!$C$6</f>
        <v/>
      </c>
      <c r="I33">
        <f>SUMIF('Build (Monthly)'!$C$6:$CH$6,I$5,'Build (Monthly)'!$C$21:$CH$21)*Assumptions!$C$6</f>
        <v/>
      </c>
    </row>
    <row r="34">
      <c r="B34" t="inlineStr">
        <is>
          <t>Premium ceded (24%)</t>
        </is>
      </c>
      <c r="C34">
        <f>SUMIF('Build (Monthly)'!$C$6:$CH$6,C$5,'Build (Monthly)'!$C$22:$CH$22)*Assumptions!$C$6</f>
        <v/>
      </c>
      <c r="D34">
        <f>SUMIF('Build (Monthly)'!$C$6:$CH$6,D$5,'Build (Monthly)'!$C$22:$CH$22)*Assumptions!$C$6</f>
        <v/>
      </c>
      <c r="E34">
        <f>SUMIF('Build (Monthly)'!$C$6:$CH$6,E$5,'Build (Monthly)'!$C$22:$CH$22)*Assumptions!$C$6</f>
        <v/>
      </c>
      <c r="F34">
        <f>SUMIF('Build (Monthly)'!$C$6:$CH$6,F$5,'Build (Monthly)'!$C$22:$CH$22)*Assumptions!$C$6</f>
        <v/>
      </c>
      <c r="G34">
        <f>SUMIF('Build (Monthly)'!$C$6:$CH$6,G$5,'Build (Monthly)'!$C$22:$CH$22)*Assumptions!$C$6</f>
        <v/>
      </c>
      <c r="H34">
        <f>SUMIF('Build (Monthly)'!$C$6:$CH$6,H$5,'Build (Monthly)'!$C$22:$CH$22)*Assumptions!$C$6</f>
        <v/>
      </c>
      <c r="I34">
        <f>SUMIF('Build (Monthly)'!$C$6:$CH$6,I$5,'Build (Monthly)'!$C$22:$CH$22)*Assumptions!$C$6</f>
        <v/>
      </c>
    </row>
    <row r="35">
      <c r="B35" t="inlineStr">
        <is>
          <t>Expected claims</t>
        </is>
      </c>
      <c r="C35">
        <f>SUMIF('Build (Monthly)'!$C$6:$CH$6,C$5,'Build (Monthly)'!$C$33:$CH$33)*Assumptions!$C$6</f>
        <v/>
      </c>
      <c r="D35">
        <f>SUMIF('Build (Monthly)'!$C$6:$CH$6,D$5,'Build (Monthly)'!$C$33:$CH$33)*Assumptions!$C$6</f>
        <v/>
      </c>
      <c r="E35">
        <f>SUMIF('Build (Monthly)'!$C$6:$CH$6,E$5,'Build (Monthly)'!$C$33:$CH$33)*Assumptions!$C$6</f>
        <v/>
      </c>
      <c r="F35">
        <f>SUMIF('Build (Monthly)'!$C$6:$CH$6,F$5,'Build (Monthly)'!$C$33:$CH$33)*Assumptions!$C$6</f>
        <v/>
      </c>
      <c r="G35">
        <f>SUMIF('Build (Monthly)'!$C$6:$CH$6,G$5,'Build (Monthly)'!$C$33:$CH$33)*Assumptions!$C$6</f>
        <v/>
      </c>
      <c r="H35">
        <f>SUMIF('Build (Monthly)'!$C$6:$CH$6,H$5,'Build (Monthly)'!$C$33:$CH$33)*Assumptions!$C$6</f>
        <v/>
      </c>
      <c r="I35">
        <f>SUMIF('Build (Monthly)'!$C$6:$CH$6,I$5,'Build (Monthly)'!$C$33:$CH$33)*Assumptions!$C$6</f>
        <v/>
      </c>
    </row>
    <row r="36">
      <c r="B36" t="inlineStr">
        <is>
          <t>Loss ratio</t>
        </is>
      </c>
      <c r="C36">
        <f>C35/C34</f>
        <v/>
      </c>
      <c r="D36">
        <f>D35/D34</f>
        <v/>
      </c>
      <c r="E36">
        <f>E35/E34</f>
        <v/>
      </c>
      <c r="F36">
        <f>F35/F34</f>
        <v/>
      </c>
      <c r="G36">
        <f>G35/G34</f>
        <v/>
      </c>
      <c r="H36">
        <f>H35/H34</f>
        <v/>
      </c>
      <c r="I36">
        <f>I35/I34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E30"/>
  <sheetViews>
    <sheetView workbookViewId="0">
      <selection activeCell="A1" sqref="A1"/>
    </sheetView>
  </sheetViews>
  <sheetFormatPr baseColWidth="8" defaultRowHeight="15"/>
  <cols>
    <col width="48" customWidth="1" min="2" max="2"/>
  </cols>
  <sheetData>
    <row r="2">
      <c r="B2" s="1" t="inlineStr">
        <is>
          <t>VALUATION</t>
        </is>
      </c>
    </row>
    <row r="3">
      <c r="B3" t="inlineStr">
        <is>
          <t>One flat revenue multiple at every forward milestone. The entry multiple is whatever the round implies.</t>
        </is>
      </c>
    </row>
    <row r="5">
      <c r="C5" s="2" t="inlineStr">
        <is>
          <t>2026</t>
        </is>
      </c>
      <c r="D5" s="2" t="inlineStr">
        <is>
          <t>Dec 2029</t>
        </is>
      </c>
      <c r="E5" s="2" t="inlineStr">
        <is>
          <t>2032</t>
        </is>
      </c>
    </row>
    <row r="6">
      <c r="B6" t="inlineStr">
        <is>
          <t>Total revenue (ZAR)</t>
        </is>
      </c>
      <c r="C6">
        <f>Annual!C15</f>
        <v/>
      </c>
      <c r="D6">
        <f>Annual!F15</f>
        <v/>
      </c>
      <c r="E6">
        <f>Annual!I15</f>
        <v/>
      </c>
    </row>
    <row r="7">
      <c r="B7" t="inlineStr">
        <is>
          <t>EBITDA (ZAR)</t>
        </is>
      </c>
      <c r="C7">
        <f>Annual!C25</f>
        <v/>
      </c>
      <c r="D7">
        <f>Annual!F25</f>
        <v/>
      </c>
      <c r="E7">
        <f>Annual!I25</f>
        <v/>
      </c>
    </row>
    <row r="8">
      <c r="B8" t="inlineStr">
        <is>
          <t>Revenue multiple applied</t>
        </is>
      </c>
      <c r="C8">
        <f>C10/C6</f>
        <v/>
      </c>
      <c r="D8">
        <f>Assumptions!$C$47</f>
        <v/>
      </c>
      <c r="E8">
        <f>Assumptions!$C$47</f>
        <v/>
      </c>
    </row>
    <row r="9">
      <c r="B9" s="4" t="inlineStr">
        <is>
          <t xml:space="preserve">  (2026 is the multiple the round implies, not an input)</t>
        </is>
      </c>
    </row>
    <row r="10">
      <c r="B10" t="inlineStr">
        <is>
          <t>Valuation milestone (ZAR)</t>
        </is>
      </c>
      <c r="C10">
        <f>Assumptions!$C$9</f>
        <v/>
      </c>
      <c r="D10">
        <f>D6*D8</f>
        <v/>
      </c>
      <c r="E10">
        <f>E6*E8</f>
        <v/>
      </c>
    </row>
    <row r="12">
      <c r="B12" s="2" t="inlineStr">
        <is>
          <t>INVESTOR</t>
        </is>
      </c>
    </row>
    <row r="13">
      <c r="B13" t="inlineStr">
        <is>
          <t>Ticket (ZAR)</t>
        </is>
      </c>
      <c r="C13" s="3" t="n">
        <v>8000000</v>
      </c>
    </row>
    <row r="14">
      <c r="B14" t="inlineStr">
        <is>
          <t>Stake</t>
        </is>
      </c>
      <c r="C14">
        <f>C13/Assumptions!$C$9</f>
        <v/>
      </c>
    </row>
    <row r="15">
      <c r="B15" t="inlineStr">
        <is>
          <t>Value of stake</t>
        </is>
      </c>
      <c r="C15">
        <f>$C$14*C10</f>
        <v/>
      </c>
      <c r="D15">
        <f>$C$14*D10</f>
        <v/>
      </c>
      <c r="E15">
        <f>$C$14*E10</f>
        <v/>
      </c>
    </row>
    <row r="16">
      <c r="B16" t="inlineStr">
        <is>
          <t>Multiple on ticket</t>
        </is>
      </c>
      <c r="C16">
        <f>C15/$C$13</f>
        <v/>
      </c>
      <c r="D16">
        <f>D15/$C$13</f>
        <v/>
      </c>
      <c r="E16">
        <f>E15/$C$13</f>
        <v/>
      </c>
    </row>
    <row r="17">
      <c r="B17" t="inlineStr">
        <is>
          <t>IRR to Dec 2029 (3.4 yrs from a Q3 2026 close)</t>
        </is>
      </c>
      <c r="D17">
        <f>D16^(1/3.4)-1</f>
        <v/>
      </c>
    </row>
    <row r="18">
      <c r="B18" s="4" t="inlineStr">
        <is>
          <t>Unrealised mark on a private holding, not a realised return.</t>
        </is>
      </c>
    </row>
    <row r="20">
      <c r="B20" s="2" t="inlineStr">
        <is>
          <t>FUNDING</t>
        </is>
      </c>
    </row>
    <row r="21">
      <c r="B21" t="inlineStr">
        <is>
          <t>Peak cumulative drawdown (ZAR)</t>
        </is>
      </c>
      <c r="C21">
        <f>MIN(Annual!C30:I30)</f>
        <v/>
      </c>
    </row>
    <row r="22">
      <c r="B22" t="inlineStr">
        <is>
          <t>Raise (ZAR)</t>
        </is>
      </c>
      <c r="C22">
        <f>Assumptions!$C$7</f>
        <v/>
      </c>
    </row>
    <row r="23">
      <c r="B23" t="inlineStr">
        <is>
          <t>Headroom</t>
        </is>
      </c>
      <c r="C23">
        <f>C22+C21</f>
        <v/>
      </c>
    </row>
    <row r="25">
      <c r="B25" s="2" t="inlineStr">
        <is>
          <t>RISKS TO THESE NUMBERS</t>
        </is>
      </c>
    </row>
    <row r="26">
      <c r="B26" t="inlineStr">
        <is>
          <t>Simulator revenue depends on an operator agreement. None signed; no approach made as at Aug 2026.</t>
        </is>
      </c>
    </row>
    <row r="27">
      <c r="B27" t="inlineStr">
        <is>
          <t>New-territory sponsorship partners are appointed at market entry and are not yet in place.</t>
        </is>
      </c>
    </row>
    <row r="28">
      <c r="B28" t="inlineStr">
        <is>
          <t>The 2,000 opening members is a conversion target, not a current paying base.</t>
        </is>
      </c>
    </row>
    <row r="29">
      <c r="B29" t="inlineStr">
        <is>
          <t>Upsell attach is modelled, not observed — the menu ships in 2027.</t>
        </is>
      </c>
    </row>
    <row r="30">
      <c r="B30" t="inlineStr">
        <is>
          <t>Insurance terms are a submission, not a bound policy.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2026-08-05T11:26:23Z</dcterms:created>
  <dcterms:modified xsi:type="dcterms:W3CDTF">2026-08-05T11:29:01Z</dcterms:modified>
</cp:coreProperties>
</file>