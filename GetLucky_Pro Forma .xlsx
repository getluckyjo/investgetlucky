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28800" windowHeight="17580" tabRatio="500" firstSheet="0" activeTab="0" autoFilterDateGrouping="1"/>
  </bookViews>
  <sheets>
    <sheet name="Read Me" sheetId="1" state="visible" r:id="rId1"/>
    <sheet name="Assumptions" sheetId="2" state="visible" r:id="rId2"/>
    <sheet name="Build (Monthly)" sheetId="3" state="visible" r:id="rId3"/>
    <sheet name="Simulator" sheetId="4" state="visible" r:id="rId4"/>
    <sheet name="Sponsorship" sheetId="5" state="visible" r:id="rId5"/>
    <sheet name="Upsells" sheetId="6" state="visible" r:id="rId6"/>
    <sheet name="Valuation" sheetId="7" state="visible" r:id="rId7"/>
    <sheet name="Investor's Stake" sheetId="8" state="visible" r:id="rId8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6">
    <numFmt numFmtId="164" formatCode="0.0%;\(0.0%\);\-"/>
    <numFmt numFmtId="165" formatCode="\$#,##0;&quot;($&quot;#,##0\);\-"/>
    <numFmt numFmtId="166" formatCode="#,##0;\(#,##0\);\-"/>
    <numFmt numFmtId="167" formatCode="0.000%"/>
    <numFmt numFmtId="168" formatCode="0.0\x"/>
    <numFmt numFmtId="169" formatCode="0.00%;\(0.00%\);\-"/>
    <numFmt numFmtId="170" formatCode="&quot;R &quot;#,##0;\(&quot;R &quot;#,##0\);\-"/>
    <numFmt numFmtId="171" formatCode="[$USD]\ #,##0;\([$USD]\ #,##0\);\-"/>
    <numFmt numFmtId="172" formatCode="[$USD]\ #,##0.00"/>
    <numFmt numFmtId="173" formatCode="[$USD] #,##0;([$USD] #,##0);-"/>
    <numFmt numFmtId="174" formatCode="0.0%;(0.0%);-"/>
    <numFmt numFmtId="175" formatCode="#,##0;(#,##0);-"/>
    <numFmt numFmtId="176" formatCode="0.00%;(0.00%);-"/>
    <numFmt numFmtId="177" formatCode="&quot;R &quot;#,##0;(&quot;R &quot;#,##0);-"/>
    <numFmt numFmtId="178" formatCode="0.0x"/>
    <numFmt numFmtId="179" formatCode="0.00\x"/>
  </numFmts>
  <fonts count="34">
    <font>
      <name val="Calibri"/>
      <charset val="1"/>
      <family val="2"/>
      <color theme="1"/>
      <sz val="11"/>
    </font>
    <font>
      <name val="Arial"/>
      <family val="2"/>
      <b val="1"/>
      <color rgb="FF1B2A1F"/>
      <sz val="16"/>
    </font>
    <font>
      <name val="Arial"/>
      <family val="2"/>
      <b val="1"/>
      <i val="1"/>
      <color rgb="FFC9A24B"/>
      <sz val="11"/>
    </font>
    <font>
      <name val="Arial"/>
      <family val="2"/>
      <b val="1"/>
      <color rgb="FF1B2A1F"/>
      <sz val="10"/>
    </font>
    <font>
      <name val="Arial"/>
      <family val="2"/>
      <color rgb="FF000000"/>
      <sz val="10"/>
    </font>
    <font>
      <name val="Arial"/>
      <family val="2"/>
      <b val="1"/>
      <color rgb="FFFFFFFF"/>
      <sz val="14"/>
    </font>
    <font>
      <name val="Arial"/>
      <family val="2"/>
      <b val="1"/>
      <i val="1"/>
      <color rgb="FF666666"/>
      <sz val="9"/>
    </font>
    <font>
      <name val="Arial"/>
      <family val="2"/>
      <b val="1"/>
      <color rgb="FFFFFFFF"/>
      <sz val="11"/>
    </font>
    <font>
      <name val="Arial"/>
      <family val="2"/>
      <color rgb="FF0000FF"/>
      <sz val="10"/>
    </font>
    <font>
      <name val="Arial"/>
      <family val="2"/>
      <i val="1"/>
      <color rgb="FF666666"/>
      <sz val="8"/>
    </font>
    <font>
      <name val="Arial"/>
      <family val="2"/>
      <b val="1"/>
      <color rgb="FF000000"/>
      <sz val="10"/>
    </font>
    <font>
      <name val="Arial"/>
      <family val="2"/>
      <color rgb="FF008000"/>
      <sz val="10"/>
    </font>
    <font>
      <name val="Arial"/>
      <family val="2"/>
      <color rgb="FFFFFFFF"/>
      <sz val="11"/>
    </font>
    <font>
      <name val="Arial"/>
      <family val="2"/>
      <color rgb="FF666666"/>
      <sz val="8"/>
    </font>
    <font>
      <name val="Calibri"/>
      <charset val="1"/>
      <family val="2"/>
      <color rgb="FF666666"/>
      <sz val="9"/>
    </font>
    <font>
      <name val="Arial"/>
      <family val="2"/>
      <color rgb="FF666666"/>
      <sz val="9"/>
    </font>
    <font>
      <name val="Arial"/>
      <family val="2"/>
      <color theme="1"/>
      <sz val="10"/>
    </font>
    <font>
      <name val="Calibri"/>
      <charset val="1"/>
      <family val="2"/>
      <color rgb="FF008000"/>
      <sz val="11"/>
    </font>
    <font>
      <name val="Arial"/>
      <family val="2"/>
      <b val="1"/>
      <color rgb="FF008000"/>
      <sz val="10"/>
    </font>
    <font>
      <name val="Arial"/>
      <family val="2"/>
      <color rgb="FF333333"/>
      <sz val="10"/>
    </font>
    <font>
      <name val="Arial"/>
      <family val="2"/>
      <color theme="1"/>
      <sz val="11"/>
    </font>
    <font>
      <name val="Arial"/>
      <b val="1"/>
      <color rgb="FFFFFFFF"/>
      <sz val="14"/>
    </font>
    <font>
      <name val="Arial"/>
      <color rgb="FF000000"/>
      <sz val="10"/>
    </font>
    <font>
      <name val="Arial"/>
      <color rgb="FF666666"/>
      <sz val="9"/>
    </font>
    <font>
      <name val="Arial"/>
      <b val="1"/>
      <color rgb="FFFFFFFF"/>
      <sz val="11"/>
    </font>
    <font>
      <name val="Arial"/>
      <b val="1"/>
      <color rgb="FFC00000"/>
      <sz val="10"/>
    </font>
    <font>
      <name val="Arial"/>
      <color rgb="FF666666"/>
      <sz val="8"/>
    </font>
    <font>
      <name val="Arial"/>
      <color rgb="FF0000FF"/>
      <sz val="10"/>
    </font>
    <font>
      <name val="Arial"/>
      <b val="1"/>
      <color rgb="FF000000"/>
      <sz val="10"/>
    </font>
    <font>
      <name val="Calibri"/>
      <color rgb="FF666666"/>
      <sz val="9"/>
    </font>
    <font>
      <name val="Arial"/>
      <sz val="10"/>
    </font>
    <font>
      <name val="Arial"/>
      <color rgb="FF008000"/>
      <sz val="10"/>
    </font>
    <font>
      <name val="Arial"/>
      <color rgb="FF333333"/>
      <sz val="9"/>
    </font>
    <font>
      <name val="Arial"/>
      <b val="1"/>
      <color rgb="FF335231"/>
      <sz val="10"/>
    </font>
  </fonts>
  <fills count="13">
    <fill>
      <patternFill/>
    </fill>
    <fill>
      <patternFill patternType="gray125"/>
    </fill>
    <fill>
      <patternFill patternType="solid">
        <fgColor rgb="FF1B2A1F"/>
        <bgColor rgb="FF003300"/>
      </patternFill>
    </fill>
    <fill>
      <patternFill patternType="solid">
        <fgColor rgb="FF2E4034"/>
        <bgColor rgb="FF1B2A1F"/>
      </patternFill>
    </fill>
    <fill>
      <patternFill patternType="solid">
        <fgColor rgb="FFFFF6D6"/>
        <bgColor rgb="FFF0EFEA"/>
      </patternFill>
    </fill>
    <fill>
      <patternFill patternType="solid">
        <fgColor rgb="FFF0EFEA"/>
        <bgColor rgb="FFFFF6D6"/>
      </patternFill>
    </fill>
    <fill>
      <patternFill patternType="solid">
        <fgColor rgb="FFC9A24B"/>
        <bgColor rgb="FFFF9900"/>
      </patternFill>
    </fill>
    <fill>
      <patternFill patternType="solid">
        <fgColor rgb="FF2E4034"/>
        <bgColor indexed="64"/>
      </patternFill>
    </fill>
    <fill>
      <patternFill patternType="solid">
        <fgColor rgb="FFFFF6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B2A1F"/>
      </patternFill>
    </fill>
    <fill>
      <patternFill patternType="solid">
        <fgColor rgb="FF2E4034"/>
      </patternFill>
    </fill>
    <fill>
      <patternFill patternType="solid">
        <fgColor rgb="FFFFF6D6"/>
      </patternFill>
    </fill>
  </fills>
  <borders count="7">
    <border>
      <left/>
      <right/>
      <top/>
      <bottom/>
      <diagonal/>
    </border>
    <border>
      <left style="thin">
        <color rgb="FFD9D6CC"/>
      </left>
      <right style="thin">
        <color rgb="FFD9D6CC"/>
      </right>
      <top style="thin">
        <color rgb="FFD9D6CC"/>
      </top>
      <bottom style="thin">
        <color rgb="FFD9D6CC"/>
      </bottom>
      <diagonal/>
    </border>
    <border>
      <left style="thin">
        <color rgb="FFD9D6CC"/>
      </left>
      <right style="thin">
        <color rgb="FFD9D6CC"/>
      </right>
      <top/>
      <bottom/>
      <diagonal/>
    </border>
    <border>
      <left style="thin">
        <color rgb="FFD9D6CC"/>
      </left>
      <right style="thin">
        <color rgb="FFD9D6CC"/>
      </right>
      <top style="thin">
        <color rgb="FFD9D6CC"/>
      </top>
      <bottom/>
      <diagonal/>
    </border>
    <border>
      <left style="thin">
        <color rgb="FFD9D6CC"/>
      </left>
      <right style="thin">
        <color rgb="FFD9D6CC"/>
      </right>
      <top/>
      <bottom style="thin">
        <color rgb="FFD9D6CC"/>
      </bottom>
      <diagonal/>
    </border>
    <border>
      <left style="thin">
        <color rgb="FFD9D6CC"/>
      </left>
      <right/>
      <top/>
      <bottom/>
      <diagonal/>
    </border>
    <border>
      <left style="thin">
        <color rgb="FFD9D6CC"/>
      </left>
      <right/>
      <top style="thin">
        <color rgb="FFD9D6CC"/>
      </top>
      <bottom style="thin">
        <color rgb="FFD9D6CC"/>
      </bottom>
      <diagonal/>
    </border>
  </borders>
  <cellStyleXfs count="1">
    <xf numFmtId="0" fontId="0" fillId="0" borderId="0"/>
  </cellStyleXfs>
  <cellXfs count="12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8" fillId="0" borderId="1" pivotButton="0" quotePrefix="0" xfId="0"/>
    <xf numFmtId="165" fontId="8" fillId="0" borderId="1" pivotButton="0" quotePrefix="0" xfId="0"/>
    <xf numFmtId="2" fontId="8" fillId="4" borderId="1" pivotButton="0" quotePrefix="0" xfId="0"/>
    <xf numFmtId="166" fontId="8" fillId="4" borderId="1" pivotButton="0" quotePrefix="0" xfId="0"/>
    <xf numFmtId="164" fontId="8" fillId="4" borderId="1" pivotButton="0" quotePrefix="0" xfId="0"/>
    <xf numFmtId="167" fontId="8" fillId="4" borderId="1" pivotButton="0" quotePrefix="0" xfId="0"/>
    <xf numFmtId="168" fontId="4" fillId="0" borderId="1" pivotButton="0" quotePrefix="0" xfId="0"/>
    <xf numFmtId="168" fontId="8" fillId="4" borderId="1" pivotButton="0" quotePrefix="0" xfId="0"/>
    <xf numFmtId="0" fontId="10" fillId="0" borderId="0" pivotButton="0" quotePrefix="0" xfId="0"/>
    <xf numFmtId="1" fontId="10" fillId="5" borderId="1" applyAlignment="1" pivotButton="0" quotePrefix="0" xfId="0">
      <alignment horizontal="center"/>
    </xf>
    <xf numFmtId="166" fontId="4" fillId="0" borderId="1" pivotButton="0" quotePrefix="0" xfId="0"/>
    <xf numFmtId="166" fontId="4" fillId="5" borderId="1" pivotButton="0" quotePrefix="0" xfId="0"/>
    <xf numFmtId="0" fontId="7" fillId="3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166" fontId="10" fillId="0" borderId="1" pivotButton="0" quotePrefix="0" xfId="0"/>
    <xf numFmtId="0" fontId="9" fillId="0" borderId="0" applyAlignment="1" pivotButton="0" quotePrefix="0" xfId="0">
      <alignment vertical="center" wrapText="1"/>
    </xf>
    <xf numFmtId="168" fontId="10" fillId="0" borderId="1" pivotButton="0" quotePrefix="0" xfId="0"/>
    <xf numFmtId="0" fontId="12" fillId="7" borderId="0" applyAlignment="1" pivotButton="0" quotePrefix="0" xfId="0">
      <alignment horizontal="left"/>
    </xf>
    <xf numFmtId="0" fontId="13" fillId="0" borderId="0" pivotButton="0" quotePrefix="0" xfId="0"/>
    <xf numFmtId="169" fontId="8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2" fontId="8" fillId="0" borderId="2" pivotButton="0" quotePrefix="0" xfId="0"/>
    <xf numFmtId="166" fontId="4" fillId="0" borderId="3" pivotButton="0" quotePrefix="0" xfId="0"/>
    <xf numFmtId="0" fontId="13" fillId="0" borderId="0" pivotButton="0" quotePrefix="1" xfId="0"/>
    <xf numFmtId="164" fontId="17" fillId="0" borderId="0" pivotButton="0" quotePrefix="0" xfId="0"/>
    <xf numFmtId="168" fontId="18" fillId="0" borderId="1" pivotButton="0" quotePrefix="0" xfId="0"/>
    <xf numFmtId="164" fontId="11" fillId="0" borderId="1" pivotButton="0" quotePrefix="0" xfId="0"/>
    <xf numFmtId="170" fontId="14" fillId="0" borderId="0" pivotButton="0" quotePrefix="0" xfId="0"/>
    <xf numFmtId="1" fontId="8" fillId="8" borderId="0" pivotButton="0" quotePrefix="0" xfId="0"/>
    <xf numFmtId="0" fontId="16" fillId="0" borderId="0" pivotButton="0" quotePrefix="0" xfId="0"/>
    <xf numFmtId="171" fontId="8" fillId="0" borderId="1" pivotButton="0" quotePrefix="0" xfId="0"/>
    <xf numFmtId="171" fontId="8" fillId="8" borderId="1" pivotButton="0" quotePrefix="0" xfId="0"/>
    <xf numFmtId="171" fontId="8" fillId="0" borderId="0" pivotButton="0" quotePrefix="0" xfId="0"/>
    <xf numFmtId="172" fontId="8" fillId="8" borderId="1" pivotButton="0" quotePrefix="0" xfId="0"/>
    <xf numFmtId="171" fontId="10" fillId="0" borderId="1" pivotButton="0" quotePrefix="0" xfId="0"/>
    <xf numFmtId="171" fontId="4" fillId="0" borderId="1" pivotButton="0" quotePrefix="0" xfId="0"/>
    <xf numFmtId="171" fontId="18" fillId="4" borderId="1" pivotButton="0" quotePrefix="0" xfId="0"/>
    <xf numFmtId="171" fontId="16" fillId="0" borderId="0" pivotButton="0" quotePrefix="0" xfId="0"/>
    <xf numFmtId="171" fontId="11" fillId="0" borderId="1" pivotButton="0" quotePrefix="0" xfId="0"/>
    <xf numFmtId="0" fontId="19" fillId="0" borderId="0" pivotButton="0" quotePrefix="0" xfId="0"/>
    <xf numFmtId="0" fontId="20" fillId="0" borderId="0" pivotButton="0" quotePrefix="0" xfId="0"/>
    <xf numFmtId="0" fontId="9" fillId="0" borderId="0" applyAlignment="1" pivotButton="0" quotePrefix="0" xfId="0">
      <alignment horizontal="left" vertical="center" wrapText="1" indent="1"/>
    </xf>
    <xf numFmtId="0" fontId="5" fillId="2" borderId="0" applyAlignment="1" pivotButton="0" quotePrefix="0" xfId="0">
      <alignment horizontal="left" vertical="center" indent="1"/>
    </xf>
    <xf numFmtId="0" fontId="6" fillId="0" borderId="0" pivotButton="0" quotePrefix="0" xfId="0"/>
    <xf numFmtId="0" fontId="7" fillId="3" borderId="0" applyAlignment="1" pivotButton="0" quotePrefix="0" xfId="0">
      <alignment horizontal="left" vertical="center" indent="1"/>
    </xf>
    <xf numFmtId="0" fontId="9" fillId="0" borderId="0" applyAlignment="1" pivotButton="0" quotePrefix="1" xfId="0">
      <alignment horizontal="left" vertical="center" wrapText="1" indent="1"/>
    </xf>
    <xf numFmtId="0" fontId="9" fillId="0" borderId="0" applyAlignment="1" pivotButton="0" quotePrefix="0" xfId="0">
      <alignment horizontal="left" vertical="center" wrapText="1" indent="1"/>
    </xf>
    <xf numFmtId="0" fontId="9" fillId="0" borderId="0" applyAlignment="1" pivotButton="0" quotePrefix="0" xfId="0">
      <alignment vertical="top" wrapText="1"/>
    </xf>
    <xf numFmtId="0" fontId="4" fillId="0" borderId="0" pivotButton="0" quotePrefix="0" xfId="0"/>
    <xf numFmtId="164" fontId="8" fillId="0" borderId="3" pivotButton="0" quotePrefix="0" xfId="0"/>
    <xf numFmtId="0" fontId="9" fillId="0" borderId="5" applyAlignment="1" pivotButton="0" quotePrefix="0" xfId="0">
      <alignment horizontal="left" vertical="center" wrapText="1" indent="1"/>
    </xf>
    <xf numFmtId="170" fontId="8" fillId="9" borderId="6" pivotButton="0" quotePrefix="0" xfId="0"/>
    <xf numFmtId="171" fontId="4" fillId="0" borderId="4" pivotButton="0" quotePrefix="0" xfId="0"/>
    <xf numFmtId="171" fontId="11" fillId="0" borderId="6" pivotButton="0" quotePrefix="0" xfId="0"/>
    <xf numFmtId="171" fontId="10" fillId="6" borderId="3" pivotButton="0" quotePrefix="0" xfId="0"/>
    <xf numFmtId="0" fontId="9" fillId="0" borderId="5" applyAlignment="1" pivotButton="0" quotePrefix="0" xfId="0">
      <alignment vertical="center" wrapText="1"/>
    </xf>
    <xf numFmtId="170" fontId="8" fillId="9" borderId="6" pivotButton="0" quotePrefix="0" xfId="0"/>
    <xf numFmtId="169" fontId="8" fillId="0" borderId="0" pivotButton="0" quotePrefix="0" xfId="0"/>
    <xf numFmtId="0" fontId="21" fillId="10" borderId="0" applyAlignment="1" pivotButton="0" quotePrefix="0" xfId="0">
      <alignment horizontal="left"/>
    </xf>
    <xf numFmtId="0" fontId="23" fillId="0" borderId="0" pivotButton="0" quotePrefix="0" xfId="0"/>
    <xf numFmtId="0" fontId="24" fillId="11" borderId="0" applyAlignment="1" pivotButton="0" quotePrefix="0" xfId="0">
      <alignment horizontal="left"/>
    </xf>
    <xf numFmtId="0" fontId="22" fillId="0" borderId="0" pivotButton="0" quotePrefix="0" xfId="0"/>
    <xf numFmtId="0" fontId="25" fillId="0" borderId="0" pivotButton="0" quotePrefix="0" xfId="0"/>
    <xf numFmtId="0" fontId="26" fillId="0" borderId="0" applyAlignment="1" pivotButton="0" quotePrefix="0" xfId="0">
      <alignment horizontal="left" vertical="top"/>
    </xf>
    <xf numFmtId="173" fontId="27" fillId="0" borderId="0" pivotButton="0" quotePrefix="0" xfId="0"/>
    <xf numFmtId="174" fontId="27" fillId="12" borderId="0" pivotButton="0" quotePrefix="0" xfId="0"/>
    <xf numFmtId="174" fontId="27" fillId="0" borderId="0" pivotButton="0" quotePrefix="0" xfId="0"/>
    <xf numFmtId="174" fontId="22" fillId="0" borderId="0" pivotButton="0" quotePrefix="0" xfId="0"/>
    <xf numFmtId="175" fontId="27" fillId="12" borderId="0" pivotButton="0" quotePrefix="0" xfId="0"/>
    <xf numFmtId="0" fontId="28" fillId="0" borderId="0" pivotButton="0" quotePrefix="0" xfId="0"/>
    <xf numFmtId="0" fontId="24" fillId="11" borderId="0" pivotButton="0" quotePrefix="0" xfId="0"/>
    <xf numFmtId="176" fontId="27" fillId="0" borderId="0" pivotButton="0" quotePrefix="0" xfId="0"/>
    <xf numFmtId="175" fontId="22" fillId="0" borderId="0" pivotButton="0" quotePrefix="0" xfId="0"/>
    <xf numFmtId="173" fontId="22" fillId="0" borderId="0" pivotButton="0" quotePrefix="0" xfId="0"/>
    <xf numFmtId="173" fontId="28" fillId="0" borderId="0" pivotButton="0" quotePrefix="0" xfId="0"/>
    <xf numFmtId="177" fontId="29" fillId="0" borderId="0" pivotButton="0" quotePrefix="0" xfId="0"/>
    <xf numFmtId="177" fontId="22" fillId="0" borderId="0" pivotButton="0" quotePrefix="0" xfId="0"/>
    <xf numFmtId="178" fontId="22" fillId="0" borderId="0" pivotButton="0" quotePrefix="0" xfId="0"/>
    <xf numFmtId="0" fontId="24" fillId="11" borderId="1" applyAlignment="1" pivotButton="0" quotePrefix="0" xfId="0">
      <alignment horizontal="left" vertical="center" indent="1"/>
    </xf>
    <xf numFmtId="0" fontId="24" fillId="11" borderId="1" applyAlignment="1" pivotButton="0" quotePrefix="0" xfId="0">
      <alignment horizontal="center" vertical="center"/>
    </xf>
    <xf numFmtId="0" fontId="30" fillId="0" borderId="0" pivotButton="0" quotePrefix="0" xfId="0"/>
    <xf numFmtId="175" fontId="22" fillId="0" borderId="1" pivotButton="0" quotePrefix="0" xfId="0"/>
    <xf numFmtId="173" fontId="22" fillId="0" borderId="1" pivotButton="0" quotePrefix="0" xfId="0"/>
    <xf numFmtId="173" fontId="28" fillId="0" borderId="1" pivotButton="0" quotePrefix="0" xfId="0"/>
    <xf numFmtId="173" fontId="31" fillId="0" borderId="1" pivotButton="0" quotePrefix="0" xfId="0"/>
    <xf numFmtId="0" fontId="22" fillId="0" borderId="0" applyAlignment="1" pivotButton="0" quotePrefix="0" xfId="0">
      <alignment horizontal="left" vertical="center" indent="1"/>
    </xf>
    <xf numFmtId="0" fontId="30" fillId="0" borderId="0" applyAlignment="1" pivotButton="0" quotePrefix="0" xfId="0">
      <alignment vertical="center" wrapText="1"/>
    </xf>
    <xf numFmtId="174" fontId="22" fillId="0" borderId="1" pivotButton="0" quotePrefix="0" xfId="0"/>
    <xf numFmtId="171" fontId="30" fillId="0" borderId="0" pivotButton="0" quotePrefix="0" xfId="0"/>
    <xf numFmtId="0" fontId="30" fillId="0" borderId="0" applyAlignment="1" pivotButton="0" quotePrefix="0" xfId="0">
      <alignment horizontal="left"/>
    </xf>
    <xf numFmtId="0" fontId="32" fillId="0" borderId="0" applyAlignment="1" pivotButton="0" quotePrefix="0" xfId="0">
      <alignment vertical="top"/>
    </xf>
    <xf numFmtId="170" fontId="14" fillId="0" borderId="0" pivotButton="0" quotePrefix="0" xfId="0"/>
    <xf numFmtId="179" fontId="22" fillId="0" borderId="0" pivotButton="0" quotePrefix="0" xfId="0"/>
    <xf numFmtId="168" fontId="22" fillId="0" borderId="0" pivotButton="0" quotePrefix="0" xfId="0"/>
    <xf numFmtId="0" fontId="33" fillId="0" borderId="0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left" vertical="top"/>
    </xf>
    <xf numFmtId="1" fontId="22" fillId="0" borderId="0" pivotButton="0" quotePrefix="0" xfId="0"/>
    <xf numFmtId="177" fontId="27" fillId="0" borderId="0" pivotButton="0" quotePrefix="0" xfId="0"/>
    <xf numFmtId="177" fontId="28" fillId="0" borderId="0" pivotButton="0" quotePrefix="0" xfId="0"/>
    <xf numFmtId="0" fontId="30" fillId="0" borderId="0" applyAlignment="1" pivotButton="0" quotePrefix="0" xfId="0">
      <alignment horizontal="left" vertical="top"/>
    </xf>
    <xf numFmtId="0" fontId="22" fillId="0" borderId="0" applyAlignment="1" pivotButton="0" quotePrefix="0" xfId="0">
      <alignment horizontal="left"/>
    </xf>
    <xf numFmtId="174" fontId="22" fillId="0" borderId="0" applyAlignment="1" pivotButton="0" quotePrefix="0" xfId="0">
      <alignment horizontal="left"/>
    </xf>
    <xf numFmtId="168" fontId="30" fillId="0" borderId="0" pivotButton="0" quotePrefix="0" xfId="0"/>
    <xf numFmtId="173" fontId="24" fillId="11" borderId="0" applyAlignment="1" pivotButton="0" quotePrefix="0" xfId="0">
      <alignment horizontal="left"/>
    </xf>
    <xf numFmtId="177" fontId="30" fillId="0" borderId="0" pivotButton="0" quotePrefix="0" xfId="0"/>
    <xf numFmtId="177" fontId="29" fillId="0" borderId="0" applyAlignment="1" pivotButton="0" quotePrefix="0" xfId="0">
      <alignment horizontal="left"/>
    </xf>
    <xf numFmtId="0" fontId="30" fillId="0" borderId="0" applyAlignment="1" pivotButton="0" quotePrefix="0" xfId="0">
      <alignment vertical="top"/>
    </xf>
    <xf numFmtId="0" fontId="32" fillId="0" borderId="0" applyAlignment="1" pivotButton="0" quotePrefix="0" xfId="0">
      <alignment vertical="top"/>
    </xf>
    <xf numFmtId="0" fontId="26" fillId="0" borderId="0" applyAlignment="1" pivotButton="0" quotePrefix="0" xfId="0">
      <alignment horizontal="left" vertical="top"/>
    </xf>
    <xf numFmtId="173" fontId="27" fillId="12" borderId="0" pivotButton="0" quotePrefix="0" xfId="0"/>
    <xf numFmtId="175" fontId="31" fillId="0" borderId="0" pivotButton="0" quotePrefix="0" xfId="0"/>
    <xf numFmtId="173" fontId="31" fillId="0" borderId="0" pivotButton="0" quotePrefix="0" xfId="0"/>
    <xf numFmtId="0" fontId="28" fillId="0" borderId="0" applyAlignment="1" pivotButton="0" quotePrefix="0" xfId="0">
      <alignment horizontal="left" vertical="center" indent="1"/>
    </xf>
    <xf numFmtId="174" fontId="30" fillId="0" borderId="0" applyAlignment="1" pivotButton="0" quotePrefix="0" xfId="0">
      <alignment horizontal="left"/>
    </xf>
    <xf numFmtId="178" fontId="30" fillId="0" borderId="0" pivotButton="0" quotePrefix="0" xfId="0"/>
    <xf numFmtId="177" fontId="29" fillId="0" borderId="0" applyAlignment="1" pivotButton="0" quotePrefix="0" xfId="0">
      <alignment vertical="top"/>
    </xf>
    <xf numFmtId="0" fontId="32" fillId="0" borderId="0" applyAlignment="1" pivotButton="0" quotePrefix="0" xfId="0">
      <alignment vertical="top"/>
    </xf>
    <xf numFmtId="0" fontId="26" fillId="0" borderId="0" applyAlignment="1" pivotButton="0" quotePrefix="0" xfId="0">
      <alignment horizontal="left" vertical="top"/>
    </xf>
    <xf numFmtId="173" fontId="22" fillId="0" borderId="0" applyAlignment="1" pivotButton="0" quotePrefix="0" xfId="0">
      <alignment horizontal="left"/>
    </xf>
    <xf numFmtId="0" fontId="32" fillId="0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6"/>
      <rgbColor rgb="FFF0EFEA"/>
      <rgbColor rgb="FF660066"/>
      <rgbColor rgb="FFFF8080"/>
      <rgbColor rgb="FF0066CC"/>
      <rgbColor rgb="FFD9D6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C9A24B"/>
      <rgbColor rgb="FF003366"/>
      <rgbColor rgb="FF339966"/>
      <rgbColor rgb="FF003300"/>
      <rgbColor rgb="FF1B2A1F"/>
      <rgbColor rgb="FF993300"/>
      <rgbColor rgb="FF993366"/>
      <rgbColor rgb="FF333399"/>
      <rgbColor rgb="FF2E403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1"/>
  <sheetViews>
    <sheetView showGridLines="0" tabSelected="1" zoomScaleNormal="100" workbookViewId="0">
      <selection activeCell="B27" sqref="B27"/>
    </sheetView>
  </sheetViews>
  <sheetFormatPr baseColWidth="10" defaultColWidth="8.6640625" defaultRowHeight="15"/>
  <cols>
    <col width="2" customWidth="1" min="1" max="1"/>
    <col width="92" customWidth="1" min="2" max="2"/>
  </cols>
  <sheetData>
    <row r="2" ht="20" customHeight="1">
      <c r="B2" s="1" t="inlineStr">
        <is>
          <t>GET LUCKY GOLF  —  INVESTOR CASE</t>
        </is>
      </c>
    </row>
    <row r="3">
      <c r="B3" s="2" t="inlineStr">
        <is>
          <t>Valuation bridge — how a 15% stake bought for R8m gets to the exit vision</t>
        </is>
      </c>
    </row>
    <row r="6">
      <c r="B6" s="3" t="inlineStr">
        <is>
          <t>WHAT THIS MODEL DOES</t>
        </is>
      </c>
    </row>
    <row r="7">
      <c r="B7" s="54" t="inlineStr">
        <is>
          <t>This workbook reverse-engineers the headline valuations in the pitch (R53.3m today -&gt; R147m in 2029 -&gt; R807m exit; model shown in $ at FX 18.5).</t>
        </is>
      </c>
    </row>
    <row r="8">
      <c r="B8" s="54" t="inlineStr">
        <is>
          <t>It shows the subscriber growth, recurring revenue, margin and exit-multiple assumptions that have to hold for those</t>
        </is>
      </c>
    </row>
    <row r="9">
      <c r="B9" s="54" t="inlineStr">
        <is>
          <t>numbers to be real — so the curve looks earned, not asserted. Every figure you can change is colour-coded.</t>
        </is>
      </c>
    </row>
    <row r="10">
      <c r="B10" s="54" t="n"/>
    </row>
    <row r="11">
      <c r="B11" s="3" t="inlineStr">
        <is>
          <t>HOW TO READ THE COLOURS (standard financial-model convention)</t>
        </is>
      </c>
    </row>
    <row r="12">
      <c r="B12" s="54" t="inlineStr">
        <is>
          <t xml:space="preserve">   BLUE text      = an input / assumption you can change. These drive everything else.</t>
        </is>
      </c>
    </row>
    <row r="13">
      <c r="B13" s="54" t="inlineStr">
        <is>
          <t xml:space="preserve">   BLACK text     = a formula. Do not type over these; they recalculate.</t>
        </is>
      </c>
    </row>
    <row r="14">
      <c r="B14" s="54" t="inlineStr">
        <is>
          <t xml:space="preserve">   GREEN text     = a figure pulled from another tab in this workbook.</t>
        </is>
      </c>
    </row>
    <row r="15">
      <c r="B15" s="54" t="inlineStr">
        <is>
          <t xml:space="preserve">   Yellow shading = a key assumption that is based on histroric average. </t>
        </is>
      </c>
    </row>
    <row r="16">
      <c r="B16" s="54" t="n"/>
    </row>
    <row r="17">
      <c r="B17" s="3" t="inlineStr">
        <is>
          <t>THE SEVEN TABS</t>
        </is>
      </c>
    </row>
    <row r="18">
      <c r="B18" s="54" t="inlineStr">
        <is>
          <t xml:space="preserve">   1. Assumptions   — stress test for different circumstances.</t>
        </is>
      </c>
    </row>
    <row r="19">
      <c r="B19" s="54" t="inlineStr">
        <is>
          <t xml:space="preserve">   2. Build (Monthly)— 36-month subscriber &amp; revenue build, SA today through the 3-year plan.</t>
        </is>
      </c>
    </row>
    <row r="20">
      <c r="B20" s="54" t="inlineStr">
        <is>
          <t xml:space="preserve">   3. Valuation      — annual P&amp;L summary + the R53.3m / R147m / R807m bridge, revenue reported by stream.</t>
        </is>
      </c>
    </row>
    <row r="21">
      <c r="B21" s="54" t="inlineStr">
        <is>
          <t xml:space="preserve">   4. Simulator      — simulator stream: unit economics, attach ramp and the 2029 adoption range.</t>
        </is>
      </c>
    </row>
    <row r="22">
      <c r="B22" s="54" t="inlineStr">
        <is>
          <t xml:space="preserve">   5. Sponsorship    — the contracted Santam deal and the per-territory anchor partners that repeat it.</t>
        </is>
      </c>
    </row>
    <row r="23">
      <c r="B23" s="3" t="inlineStr">
        <is>
          <t xml:space="preserve">   6. Upsells        — the in-play menu, attach rates and the revenue it adds to attempts already modelled.</t>
        </is>
      </c>
    </row>
    <row r="24">
      <c r="B24" s="54" t="inlineStr">
        <is>
          <t xml:space="preserve">   7. Investor's Stake — what 15% bought for R8m is worth at each milestone.</t>
        </is>
      </c>
    </row>
    <row r="25">
      <c r="B25" s="54" t="n"/>
    </row>
    <row r="26">
      <c r="B26" s="54" t="n"/>
    </row>
    <row r="27">
      <c r="B27" s="54" t="n"/>
    </row>
    <row r="28">
      <c r="B28" s="54" t="n"/>
    </row>
    <row r="29">
      <c r="B29" s="54" t="n"/>
    </row>
    <row r="30">
      <c r="B30" s="54" t="n"/>
    </row>
    <row r="31">
      <c r="B31" s="54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37"/>
  <sheetViews>
    <sheetView showGridLines="0" topLeftCell="A18" zoomScale="143" zoomScaleNormal="100" workbookViewId="0">
      <selection activeCell="D22" sqref="D22:F22"/>
    </sheetView>
  </sheetViews>
  <sheetFormatPr baseColWidth="10" defaultColWidth="8.6640625" defaultRowHeight="15"/>
  <cols>
    <col width="2" customWidth="1" min="1" max="1"/>
    <col width="46" customWidth="1" min="2" max="2"/>
    <col width="16" customWidth="1" min="3" max="5"/>
    <col width="40" customWidth="1" min="6" max="6"/>
  </cols>
  <sheetData>
    <row r="2" ht="30" customHeight="1">
      <c r="B2" s="48" t="inlineStr">
        <is>
          <t xml:space="preserve">ASSUMPTIONS  </t>
        </is>
      </c>
    </row>
    <row r="3">
      <c r="B3" s="49" t="inlineStr">
        <is>
          <t>Blue = change me.  Yellow = confirm  Black = calculated.</t>
        </is>
      </c>
    </row>
    <row r="5" ht="19.5" customHeight="1">
      <c r="B5" s="50" t="inlineStr">
        <is>
          <t xml:space="preserve">DEAL TERMS </t>
        </is>
      </c>
    </row>
    <row r="6" ht="15" customHeight="1">
      <c r="B6" s="54" t="inlineStr">
        <is>
          <t>Investor equity stake</t>
        </is>
      </c>
      <c r="C6" s="55" t="n">
        <v>0.15</v>
      </c>
      <c r="D6" s="52" t="inlineStr">
        <is>
          <t>15% bought for R8m cash</t>
        </is>
      </c>
    </row>
    <row r="7" ht="15" customHeight="1">
      <c r="B7" s="54" t="inlineStr">
        <is>
          <t>Investment amount (ZAR)</t>
        </is>
      </c>
      <c r="C7" s="62" t="n">
        <v>8000000</v>
      </c>
      <c r="D7" s="56" t="inlineStr">
        <is>
          <t>Cash in from investor</t>
        </is>
      </c>
      <c r="E7" s="52" t="n"/>
      <c r="F7" s="52" t="n"/>
    </row>
    <row r="8" ht="15" customHeight="1">
      <c r="B8" s="54" t="inlineStr">
        <is>
          <t>Post-money valuation today ($)</t>
        </is>
      </c>
      <c r="C8" s="58">
        <f>C7/C6/Assumptions!$C$11</f>
        <v/>
      </c>
      <c r="D8" s="51" t="inlineStr">
        <is>
          <t>Implied post-money: R8m / 15% = R53.3m (matches pitch floor)</t>
        </is>
      </c>
    </row>
    <row r="9" ht="15" customHeight="1">
      <c r="B9" s="54" t="inlineStr">
        <is>
          <t>Subscription price (USD / month)</t>
        </is>
      </c>
      <c r="C9" s="6" t="n">
        <v>10</v>
      </c>
      <c r="D9" s="52" t="inlineStr">
        <is>
          <t>$10/mo unlocks the challenge</t>
        </is>
      </c>
    </row>
    <row r="10" ht="15" customHeight="1">
      <c r="B10" s="54" t="inlineStr">
        <is>
          <t>Hole-in-one prize (USD)</t>
        </is>
      </c>
      <c r="C10" s="6" t="n">
        <v>10000</v>
      </c>
      <c r="D10" s="52" t="inlineStr">
        <is>
          <t>insured payout per verified ace</t>
        </is>
      </c>
    </row>
    <row r="11" ht="15" customHeight="1">
      <c r="B11" s="54" t="inlineStr">
        <is>
          <t>ZAR per USD</t>
        </is>
      </c>
      <c r="C11" s="7" t="n">
        <v>18.5</v>
      </c>
      <c r="D11" s="52" t="inlineStr">
        <is>
          <t>FX assumption — confirm rate to use</t>
        </is>
      </c>
    </row>
    <row r="13" ht="19.5" customHeight="1">
      <c r="B13" s="50" t="inlineStr">
        <is>
          <t xml:space="preserve">OPERATING TODAY  </t>
        </is>
      </c>
    </row>
    <row r="14" ht="15" customHeight="1">
      <c r="B14" s="54" t="inlineStr">
        <is>
          <t>Paying subscribers at month 0</t>
        </is>
      </c>
      <c r="C14" s="8" t="n">
        <v>2000</v>
      </c>
      <c r="D14" s="52" t="inlineStr">
        <is>
          <t>Current subscribers</t>
        </is>
      </c>
    </row>
    <row r="15" ht="15" customHeight="1">
      <c r="B15" s="54" t="inlineStr">
        <is>
          <t>Monthly subscriber growth — Year 1</t>
        </is>
      </c>
      <c r="C15" s="9" t="n">
        <v>0.105</v>
      </c>
      <c r="D15" s="52" t="inlineStr">
        <is>
          <t>Launch marketing &amp; PR effect</t>
        </is>
      </c>
    </row>
    <row r="16" ht="15" customHeight="1">
      <c r="B16" s="54" t="inlineStr">
        <is>
          <t>Monthly subscriber growth — Year 2</t>
        </is>
      </c>
      <c r="C16" s="9" t="n">
        <v>0.08</v>
      </c>
      <c r="D16" s="52" t="inlineStr">
        <is>
          <t>Tapers as base grows; SA + first intl</t>
        </is>
      </c>
    </row>
    <row r="17" ht="15" customHeight="1">
      <c r="B17" s="54" t="inlineStr">
        <is>
          <t>Monthly subscriber growth — Year 3</t>
        </is>
      </c>
      <c r="C17" s="9" t="n">
        <v>0.07000000000000001</v>
      </c>
      <c r="D17" s="52" t="inlineStr">
        <is>
          <t>Global markets open (UK/US/ME/Asia)</t>
        </is>
      </c>
    </row>
    <row r="18" ht="15" customHeight="1">
      <c r="B18" s="54" t="inlineStr">
        <is>
          <t>Monthly churn rate</t>
        </is>
      </c>
      <c r="C18" s="9" t="n">
        <v>0.04</v>
      </c>
      <c r="D18" s="52" t="inlineStr">
        <is>
          <t>% of base lost per month</t>
        </is>
      </c>
    </row>
    <row r="19" ht="15" customHeight="1">
      <c r="B19" s="54" t="inlineStr">
        <is>
          <t>CAC ($/sub)</t>
        </is>
      </c>
      <c r="C19" s="39" t="n">
        <v>12</v>
      </c>
      <c r="D19" s="51" t="inlineStr">
        <is>
          <t>$/sub acquisition target (pitch R225)</t>
        </is>
      </c>
    </row>
    <row r="21" ht="19.5" customHeight="1">
      <c r="B21" s="50" t="inlineStr">
        <is>
          <t xml:space="preserve">ECONOMICS  </t>
        </is>
      </c>
    </row>
    <row r="22" ht="15" customHeight="1">
      <c r="B22" s="54" t="inlineStr">
        <is>
          <t>Gross margin</t>
        </is>
      </c>
      <c r="C22" s="5" t="n">
        <v>0.66</v>
      </c>
      <c r="D22" s="52" t="inlineStr">
        <is>
          <t>66% to Get Lucky</t>
        </is>
      </c>
    </row>
    <row r="23" ht="15" customHeight="1">
      <c r="B23" s="54" t="inlineStr">
        <is>
          <t>On-course marketing (% of revenue)</t>
        </is>
      </c>
      <c r="C23" s="5" t="n">
        <v>0.1</v>
      </c>
      <c r="D23" s="52" t="inlineStr">
        <is>
          <t>10% on-course marketing</t>
        </is>
      </c>
    </row>
    <row r="24" ht="15" customHeight="1">
      <c r="B24" s="54" t="inlineStr">
        <is>
          <t>Insured prize risk (% of revenue)</t>
        </is>
      </c>
      <c r="C24" s="5" t="n">
        <v>0.24</v>
      </c>
      <c r="D24" s="52" t="inlineStr">
        <is>
          <t>24% premium for full (100%) cover</t>
        </is>
      </c>
    </row>
    <row r="25" ht="15" customHeight="1">
      <c r="B25" s="54" t="inlineStr">
        <is>
          <t>Per-round ace probability</t>
        </is>
      </c>
      <c r="C25" s="10" t="n">
        <v>8.000000000000001e-05</v>
      </c>
      <c r="D25" s="52" t="inlineStr">
        <is>
          <t>≈1/12,500 per attempt (amateur odds)</t>
        </is>
      </c>
    </row>
    <row r="26" ht="15" customHeight="1">
      <c r="B26" s="54" t="inlineStr">
        <is>
          <t>Base operating cost / month today ($)</t>
        </is>
      </c>
      <c r="C26" s="37">
        <f>350000/Assumptions!$C$11</f>
        <v/>
      </c>
      <c r="D26" s="51" t="inlineStr">
        <is>
          <t>Today's monthly opex base (pitch R350k/mo)</t>
        </is>
      </c>
    </row>
    <row r="27">
      <c r="B27" s="54" t="inlineStr">
        <is>
          <t>Ops scaling vs subscribers (0=flat, 1=linear)</t>
        </is>
      </c>
      <c r="C27" s="27" t="n">
        <v>0.65</v>
      </c>
      <c r="D27" s="23" t="inlineStr">
        <is>
          <t>0.65 ≈ service-inclusive SaaS economies of scale</t>
        </is>
      </c>
    </row>
    <row r="28" ht="19.5" customHeight="1">
      <c r="B28" s="50" t="inlineStr">
        <is>
          <t xml:space="preserve">VALUATION </t>
        </is>
      </c>
    </row>
    <row r="29" ht="15" customHeight="1">
      <c r="B29" s="54" t="inlineStr">
        <is>
          <t>Valuation multiple — ARR (today)</t>
        </is>
      </c>
      <c r="C29" s="11" t="n">
        <v>0</v>
      </c>
      <c r="D29" s="52" t="inlineStr">
        <is>
          <t>Solved below to hit $2.16m floor</t>
        </is>
      </c>
    </row>
    <row r="30" ht="15" customHeight="1">
      <c r="B30" s="54" t="inlineStr">
        <is>
          <t>Valuation multiple — ARR (2028 target)</t>
        </is>
      </c>
      <c r="C30" s="12" t="n">
        <v>2.744619</v>
      </c>
      <c r="D30" s="52" t="inlineStr">
        <is>
          <t>Implied by the published R96.8m base-plan milestone (R96.8m / R35.3m) — not a new assumption</t>
        </is>
      </c>
    </row>
    <row r="31" ht="15" customHeight="1">
      <c r="B31" s="54" t="inlineStr">
        <is>
          <t>Valuation multiple — ARR (2032 exit)</t>
        </is>
      </c>
      <c r="C31" s="12" t="n">
        <v>6</v>
      </c>
      <c r="D31" s="52" t="inlineStr">
        <is>
          <t>Rated as global &amp; profitable</t>
        </is>
      </c>
    </row>
    <row r="32" ht="15" customHeight="1">
      <c r="B32" s="54" t="inlineStr">
        <is>
          <t>Pitch valuation 2028 ($)</t>
        </is>
      </c>
      <c r="C32" s="36">
        <f>147000000/Assumptions!$C$11</f>
        <v/>
      </c>
      <c r="D32" s="51" t="inlineStr">
        <is>
          <t>Pitch milestone — 3-yr plan (R147m, all revenue streams)</t>
        </is>
      </c>
    </row>
    <row r="33" ht="15" customHeight="1">
      <c r="B33" s="54" t="inlineStr">
        <is>
          <t>Pitch valuation 2032 ($)</t>
        </is>
      </c>
      <c r="C33" s="36">
        <f>807000000/Assumptions!$C$11</f>
        <v/>
      </c>
      <c r="D33" s="51" t="inlineStr">
        <is>
          <t>Pitch exit vision (R807m, all revenue streams)</t>
        </is>
      </c>
    </row>
    <row r="34">
      <c r="B34" s="22" t="inlineStr">
        <is>
          <t>SPONSORSHIP &amp; EXIT TRAJECTORY</t>
        </is>
      </c>
    </row>
    <row r="35">
      <c r="B35" s="54" t="inlineStr">
        <is>
          <t>Sponsorship revenue today ($/yr)</t>
        </is>
      </c>
      <c r="C35" s="38">
        <f>3000000/Assumptions!$C$11</f>
        <v/>
      </c>
      <c r="D35" s="29" t="inlineStr">
        <is>
          <t>Pitch baseline (R3m/yr)</t>
        </is>
      </c>
    </row>
    <row r="36">
      <c r="B36" s="54" t="inlineStr">
        <is>
          <t>Long-term subscriber growth (Y4–Y7, monthly)</t>
        </is>
      </c>
      <c r="C36" s="63" t="n">
        <v>0.018</v>
      </c>
      <c r="D36" s="23" t="inlineStr">
        <is>
          <t>To land 2032 model on $27m exit vision</t>
        </is>
      </c>
    </row>
    <row r="37">
      <c r="B37" s="54" t="inlineStr">
        <is>
          <t>Rounds per subscriber per month</t>
        </is>
      </c>
      <c r="C37" s="34" t="n">
        <v>4</v>
      </c>
      <c r="D37" s="23" t="inlineStr">
        <is>
          <t>On-course attempts at the ace</t>
        </is>
      </c>
    </row>
  </sheetData>
  <mergeCells count="27">
    <mergeCell ref="D11:F11"/>
    <mergeCell ref="D32:F32"/>
    <mergeCell ref="B3:F3"/>
    <mergeCell ref="D17:F17"/>
    <mergeCell ref="D16:F16"/>
    <mergeCell ref="B21:F21"/>
    <mergeCell ref="B2:F2"/>
    <mergeCell ref="D18:F18"/>
    <mergeCell ref="D9:F9"/>
    <mergeCell ref="D30:F30"/>
    <mergeCell ref="D25:F25"/>
    <mergeCell ref="D8:F8"/>
    <mergeCell ref="D15:F15"/>
    <mergeCell ref="D33:F33"/>
    <mergeCell ref="B13:F13"/>
    <mergeCell ref="D24:F24"/>
    <mergeCell ref="D14:F14"/>
    <mergeCell ref="D29:F29"/>
    <mergeCell ref="D23:F23"/>
    <mergeCell ref="B28:F28"/>
    <mergeCell ref="D26:F26"/>
    <mergeCell ref="D10:F10"/>
    <mergeCell ref="D19:F19"/>
    <mergeCell ref="D31:F31"/>
    <mergeCell ref="D22:F22"/>
    <mergeCell ref="B5:F5"/>
    <mergeCell ref="D6:F6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L14"/>
  <sheetViews>
    <sheetView showGridLines="0" zoomScaleNormal="100" workbookViewId="0">
      <selection activeCell="A17" sqref="A17:XFD17"/>
    </sheetView>
  </sheetViews>
  <sheetFormatPr baseColWidth="10" defaultColWidth="8.6640625" defaultRowHeight="15"/>
  <cols>
    <col width="2" customWidth="1" min="1" max="1"/>
    <col width="30" customWidth="1" min="2" max="2"/>
    <col width="11" customWidth="1" min="3" max="38"/>
  </cols>
  <sheetData>
    <row r="2" ht="27.75" customHeight="1">
      <c r="B2" s="48" t="inlineStr">
        <is>
          <t>36-MONTH BUILD</t>
        </is>
      </c>
    </row>
    <row r="3">
      <c r="B3" s="49" t="inlineStr">
        <is>
          <t>Subscriber &amp; recurring-revenue build. Growth rate steps by year (see Assumptions).</t>
        </is>
      </c>
    </row>
    <row r="5">
      <c r="B5" s="13" t="inlineStr">
        <is>
          <t>Month</t>
        </is>
      </c>
      <c r="C5" s="14" t="n">
        <v>1</v>
      </c>
      <c r="D5" s="14" t="n">
        <v>2</v>
      </c>
      <c r="E5" s="14" t="n">
        <v>3</v>
      </c>
      <c r="F5" s="14" t="n">
        <v>4</v>
      </c>
      <c r="G5" s="14" t="n">
        <v>5</v>
      </c>
      <c r="H5" s="14" t="n">
        <v>6</v>
      </c>
      <c r="I5" s="14" t="n">
        <v>7</v>
      </c>
      <c r="J5" s="14" t="n">
        <v>8</v>
      </c>
      <c r="K5" s="14" t="n">
        <v>9</v>
      </c>
      <c r="L5" s="14" t="n">
        <v>10</v>
      </c>
      <c r="M5" s="14" t="n">
        <v>11</v>
      </c>
      <c r="N5" s="14" t="n">
        <v>12</v>
      </c>
      <c r="O5" s="14" t="n">
        <v>13</v>
      </c>
      <c r="P5" s="14" t="n">
        <v>14</v>
      </c>
      <c r="Q5" s="14" t="n">
        <v>15</v>
      </c>
      <c r="R5" s="14" t="n">
        <v>16</v>
      </c>
      <c r="S5" s="14" t="n">
        <v>17</v>
      </c>
      <c r="T5" s="14" t="n">
        <v>18</v>
      </c>
      <c r="U5" s="14" t="n">
        <v>19</v>
      </c>
      <c r="V5" s="14" t="n">
        <v>20</v>
      </c>
      <c r="W5" s="14" t="n">
        <v>21</v>
      </c>
      <c r="X5" s="14" t="n">
        <v>22</v>
      </c>
      <c r="Y5" s="14" t="n">
        <v>23</v>
      </c>
      <c r="Z5" s="14" t="n">
        <v>24</v>
      </c>
      <c r="AA5" s="14" t="n">
        <v>25</v>
      </c>
      <c r="AB5" s="14" t="n">
        <v>26</v>
      </c>
      <c r="AC5" s="14" t="n">
        <v>27</v>
      </c>
      <c r="AD5" s="14" t="n">
        <v>28</v>
      </c>
      <c r="AE5" s="14" t="n">
        <v>29</v>
      </c>
      <c r="AF5" s="14" t="n">
        <v>30</v>
      </c>
      <c r="AG5" s="14" t="n">
        <v>31</v>
      </c>
      <c r="AH5" s="14" t="n">
        <v>32</v>
      </c>
      <c r="AI5" s="14" t="n">
        <v>33</v>
      </c>
      <c r="AJ5" s="14" t="n">
        <v>34</v>
      </c>
      <c r="AK5" s="14" t="n">
        <v>35</v>
      </c>
      <c r="AL5" s="14" t="n">
        <v>36</v>
      </c>
    </row>
    <row r="6">
      <c r="B6" s="54" t="inlineStr">
        <is>
          <t>Opening subscribers</t>
        </is>
      </c>
      <c r="C6" s="15">
        <f>Assumptions!$C$14</f>
        <v/>
      </c>
      <c r="D6" s="15">
        <f>C10</f>
        <v/>
      </c>
      <c r="E6" s="15">
        <f>D10</f>
        <v/>
      </c>
      <c r="F6" s="15">
        <f>E10</f>
        <v/>
      </c>
      <c r="G6" s="15">
        <f>F10</f>
        <v/>
      </c>
      <c r="H6" s="15">
        <f>G10</f>
        <v/>
      </c>
      <c r="I6" s="15">
        <f>H10</f>
        <v/>
      </c>
      <c r="J6" s="15">
        <f>I10</f>
        <v/>
      </c>
      <c r="K6" s="15">
        <f>J10</f>
        <v/>
      </c>
      <c r="L6" s="15">
        <f>K10</f>
        <v/>
      </c>
      <c r="M6" s="15">
        <f>L10</f>
        <v/>
      </c>
      <c r="N6" s="15">
        <f>M10</f>
        <v/>
      </c>
      <c r="O6" s="15">
        <f>N10</f>
        <v/>
      </c>
      <c r="P6" s="15">
        <f>O10</f>
        <v/>
      </c>
      <c r="Q6" s="15">
        <f>P10</f>
        <v/>
      </c>
      <c r="R6" s="15">
        <f>Q10</f>
        <v/>
      </c>
      <c r="S6" s="15">
        <f>R10</f>
        <v/>
      </c>
      <c r="T6" s="15">
        <f>S10</f>
        <v/>
      </c>
      <c r="U6" s="15">
        <f>T10</f>
        <v/>
      </c>
      <c r="V6" s="15">
        <f>U10</f>
        <v/>
      </c>
      <c r="W6" s="15">
        <f>V10</f>
        <v/>
      </c>
      <c r="X6" s="15">
        <f>W10</f>
        <v/>
      </c>
      <c r="Y6" s="15">
        <f>X10</f>
        <v/>
      </c>
      <c r="Z6" s="15">
        <f>Y10</f>
        <v/>
      </c>
      <c r="AA6" s="15">
        <f>Z10</f>
        <v/>
      </c>
      <c r="AB6" s="15">
        <f>AA10</f>
        <v/>
      </c>
      <c r="AC6" s="15">
        <f>AB10</f>
        <v/>
      </c>
      <c r="AD6" s="15">
        <f>AC10</f>
        <v/>
      </c>
      <c r="AE6" s="15">
        <f>AD10</f>
        <v/>
      </c>
      <c r="AF6" s="15">
        <f>AE10</f>
        <v/>
      </c>
      <c r="AG6" s="15">
        <f>AF10</f>
        <v/>
      </c>
      <c r="AH6" s="15">
        <f>AG10</f>
        <v/>
      </c>
      <c r="AI6" s="15">
        <f>AH10</f>
        <v/>
      </c>
      <c r="AJ6" s="15">
        <f>AI10</f>
        <v/>
      </c>
      <c r="AK6" s="15">
        <f>AJ10</f>
        <v/>
      </c>
      <c r="AL6" s="15">
        <f>AK10</f>
        <v/>
      </c>
    </row>
    <row r="7">
      <c r="B7" s="54" t="inlineStr">
        <is>
          <t>Net growth rate (mo)</t>
        </is>
      </c>
      <c r="C7" s="30">
        <f>Assumptions!$C$15</f>
        <v/>
      </c>
      <c r="D7" s="30">
        <f>Assumptions!$C$15</f>
        <v/>
      </c>
      <c r="E7" s="30">
        <f>Assumptions!$C$15</f>
        <v/>
      </c>
      <c r="F7" s="30">
        <f>Assumptions!$C$15</f>
        <v/>
      </c>
      <c r="G7" s="30">
        <f>Assumptions!$C$15</f>
        <v/>
      </c>
      <c r="H7" s="30">
        <f>Assumptions!$C$15</f>
        <v/>
      </c>
      <c r="I7" s="30">
        <f>Assumptions!$C$15</f>
        <v/>
      </c>
      <c r="J7" s="30">
        <f>Assumptions!$C$15</f>
        <v/>
      </c>
      <c r="K7" s="30">
        <f>Assumptions!$C$15</f>
        <v/>
      </c>
      <c r="L7" s="30">
        <f>Assumptions!$C$15</f>
        <v/>
      </c>
      <c r="M7" s="30">
        <f>Assumptions!$C$15</f>
        <v/>
      </c>
      <c r="N7" s="30">
        <f>Assumptions!$C$15</f>
        <v/>
      </c>
      <c r="O7" s="30">
        <f>Assumptions!$C$16</f>
        <v/>
      </c>
      <c r="P7" s="30">
        <f>Assumptions!$C$16</f>
        <v/>
      </c>
      <c r="Q7" s="30">
        <f>Assumptions!$C$16</f>
        <v/>
      </c>
      <c r="R7" s="30">
        <f>Assumptions!$C$16</f>
        <v/>
      </c>
      <c r="S7" s="30">
        <f>Assumptions!$C$16</f>
        <v/>
      </c>
      <c r="T7" s="30">
        <f>Assumptions!$C$16</f>
        <v/>
      </c>
      <c r="U7" s="30">
        <f>Assumptions!$C$16</f>
        <v/>
      </c>
      <c r="V7" s="30">
        <f>Assumptions!$C$16</f>
        <v/>
      </c>
      <c r="W7" s="30">
        <f>Assumptions!$C$16</f>
        <v/>
      </c>
      <c r="X7" s="30">
        <f>Assumptions!$C$16</f>
        <v/>
      </c>
      <c r="Y7" s="30">
        <f>Assumptions!$C$16</f>
        <v/>
      </c>
      <c r="Z7" s="30">
        <f>Assumptions!$C$16</f>
        <v/>
      </c>
      <c r="AA7" s="30">
        <f>Assumptions!$C$17</f>
        <v/>
      </c>
      <c r="AB7" s="30">
        <f>Assumptions!$C$17</f>
        <v/>
      </c>
      <c r="AC7" s="30">
        <f>Assumptions!$C$17</f>
        <v/>
      </c>
      <c r="AD7" s="30">
        <f>Assumptions!$C$17</f>
        <v/>
      </c>
      <c r="AE7" s="30">
        <f>Assumptions!$C$17</f>
        <v/>
      </c>
      <c r="AF7" s="30">
        <f>Assumptions!$C$17</f>
        <v/>
      </c>
      <c r="AG7" s="30">
        <f>Assumptions!$C$17</f>
        <v/>
      </c>
      <c r="AH7" s="30">
        <f>Assumptions!$C$17</f>
        <v/>
      </c>
      <c r="AI7" s="30">
        <f>Assumptions!$C$17</f>
        <v/>
      </c>
      <c r="AJ7" s="30">
        <f>Assumptions!$C$17</f>
        <v/>
      </c>
      <c r="AK7" s="30">
        <f>Assumptions!$C$17</f>
        <v/>
      </c>
      <c r="AL7" s="30">
        <f>Assumptions!$C$17</f>
        <v/>
      </c>
    </row>
    <row r="8">
      <c r="B8" s="54" t="inlineStr">
        <is>
          <t>Gross adds + retained</t>
        </is>
      </c>
      <c r="C8" s="15">
        <f>C6*(1+C7)</f>
        <v/>
      </c>
      <c r="D8" s="15">
        <f>D6*(1+D7)</f>
        <v/>
      </c>
      <c r="E8" s="15">
        <f>E6*(1+E7)</f>
        <v/>
      </c>
      <c r="F8" s="15">
        <f>F6*(1+F7)</f>
        <v/>
      </c>
      <c r="G8" s="15">
        <f>G6*(1+G7)</f>
        <v/>
      </c>
      <c r="H8" s="15">
        <f>H6*(1+H7)</f>
        <v/>
      </c>
      <c r="I8" s="15">
        <f>I6*(1+I7)</f>
        <v/>
      </c>
      <c r="J8" s="15">
        <f>J6*(1+J7)</f>
        <v/>
      </c>
      <c r="K8" s="15">
        <f>K6*(1+K7)</f>
        <v/>
      </c>
      <c r="L8" s="15">
        <f>L6*(1+L7)</f>
        <v/>
      </c>
      <c r="M8" s="15">
        <f>M6*(1+M7)</f>
        <v/>
      </c>
      <c r="N8" s="15">
        <f>N6*(1+N7)</f>
        <v/>
      </c>
      <c r="O8" s="15">
        <f>O6*(1+O7)</f>
        <v/>
      </c>
      <c r="P8" s="15">
        <f>P6*(1+P7)</f>
        <v/>
      </c>
      <c r="Q8" s="15">
        <f>Q6*(1+Q7)</f>
        <v/>
      </c>
      <c r="R8" s="15">
        <f>R6*(1+R7)</f>
        <v/>
      </c>
      <c r="S8" s="15">
        <f>S6*(1+S7)</f>
        <v/>
      </c>
      <c r="T8" s="15">
        <f>T6*(1+T7)</f>
        <v/>
      </c>
      <c r="U8" s="15">
        <f>U6*(1+U7)</f>
        <v/>
      </c>
      <c r="V8" s="15">
        <f>V6*(1+V7)</f>
        <v/>
      </c>
      <c r="W8" s="15">
        <f>W6*(1+W7)</f>
        <v/>
      </c>
      <c r="X8" s="15">
        <f>X6*(1+X7)</f>
        <v/>
      </c>
      <c r="Y8" s="15">
        <f>Y6*(1+Y7)</f>
        <v/>
      </c>
      <c r="Z8" s="15">
        <f>Z6*(1+Z7)</f>
        <v/>
      </c>
      <c r="AA8" s="15">
        <f>AA6*(1+AA7)</f>
        <v/>
      </c>
      <c r="AB8" s="15">
        <f>AB6*(1+AB7)</f>
        <v/>
      </c>
      <c r="AC8" s="15">
        <f>AC6*(1+AC7)</f>
        <v/>
      </c>
      <c r="AD8" s="15">
        <f>AD6*(1+AD7)</f>
        <v/>
      </c>
      <c r="AE8" s="15">
        <f>AE6*(1+AE7)</f>
        <v/>
      </c>
      <c r="AF8" s="15">
        <f>AF6*(1+AF7)</f>
        <v/>
      </c>
      <c r="AG8" s="15">
        <f>AG6*(1+AG7)</f>
        <v/>
      </c>
      <c r="AH8" s="15">
        <f>AH6*(1+AH7)</f>
        <v/>
      </c>
      <c r="AI8" s="15">
        <f>AI6*(1+AI7)</f>
        <v/>
      </c>
      <c r="AJ8" s="15">
        <f>AJ6*(1+AJ7)</f>
        <v/>
      </c>
      <c r="AK8" s="15">
        <f>AK6*(1+AK7)</f>
        <v/>
      </c>
      <c r="AL8" s="15">
        <f>AL6*(1+AL7)</f>
        <v/>
      </c>
    </row>
    <row r="9">
      <c r="B9" s="54" t="inlineStr">
        <is>
          <t>Churned</t>
        </is>
      </c>
      <c r="C9" s="15">
        <f>-C6*Assumptions!$C$18</f>
        <v/>
      </c>
      <c r="D9" s="15">
        <f>-D6*Assumptions!$C$18</f>
        <v/>
      </c>
      <c r="E9" s="15">
        <f>-E6*Assumptions!$C$18</f>
        <v/>
      </c>
      <c r="F9" s="15">
        <f>-F6*Assumptions!$C$18</f>
        <v/>
      </c>
      <c r="G9" s="15">
        <f>-G6*Assumptions!$C$18</f>
        <v/>
      </c>
      <c r="H9" s="15">
        <f>-H6*Assumptions!$C$18</f>
        <v/>
      </c>
      <c r="I9" s="15">
        <f>-I6*Assumptions!$C$18</f>
        <v/>
      </c>
      <c r="J9" s="15">
        <f>-J6*Assumptions!$C$18</f>
        <v/>
      </c>
      <c r="K9" s="15">
        <f>-K6*Assumptions!$C$18</f>
        <v/>
      </c>
      <c r="L9" s="15">
        <f>-L6*Assumptions!$C$18</f>
        <v/>
      </c>
      <c r="M9" s="15">
        <f>-M6*Assumptions!$C$18</f>
        <v/>
      </c>
      <c r="N9" s="15">
        <f>-N6*Assumptions!$C$18</f>
        <v/>
      </c>
      <c r="O9" s="15">
        <f>-O6*Assumptions!$C$18</f>
        <v/>
      </c>
      <c r="P9" s="15">
        <f>-P6*Assumptions!$C$18</f>
        <v/>
      </c>
      <c r="Q9" s="15">
        <f>-Q6*Assumptions!$C$18</f>
        <v/>
      </c>
      <c r="R9" s="15">
        <f>-R6*Assumptions!$C$18</f>
        <v/>
      </c>
      <c r="S9" s="15">
        <f>-S6*Assumptions!$C$18</f>
        <v/>
      </c>
      <c r="T9" s="15">
        <f>-T6*Assumptions!$C$18</f>
        <v/>
      </c>
      <c r="U9" s="15">
        <f>-U6*Assumptions!$C$18</f>
        <v/>
      </c>
      <c r="V9" s="15">
        <f>-V6*Assumptions!$C$18</f>
        <v/>
      </c>
      <c r="W9" s="15">
        <f>-W6*Assumptions!$C$18</f>
        <v/>
      </c>
      <c r="X9" s="15">
        <f>-X6*Assumptions!$C$18</f>
        <v/>
      </c>
      <c r="Y9" s="15">
        <f>-Y6*Assumptions!$C$18</f>
        <v/>
      </c>
      <c r="Z9" s="15">
        <f>-Z6*Assumptions!$C$18</f>
        <v/>
      </c>
      <c r="AA9" s="15">
        <f>-AA6*Assumptions!$C$18</f>
        <v/>
      </c>
      <c r="AB9" s="15">
        <f>-AB6*Assumptions!$C$18</f>
        <v/>
      </c>
      <c r="AC9" s="15">
        <f>-AC6*Assumptions!$C$18</f>
        <v/>
      </c>
      <c r="AD9" s="15">
        <f>-AD6*Assumptions!$C$18</f>
        <v/>
      </c>
      <c r="AE9" s="15">
        <f>-AE6*Assumptions!$C$18</f>
        <v/>
      </c>
      <c r="AF9" s="15">
        <f>-AF6*Assumptions!$C$18</f>
        <v/>
      </c>
      <c r="AG9" s="15">
        <f>-AG6*Assumptions!$C$18</f>
        <v/>
      </c>
      <c r="AH9" s="15">
        <f>-AH6*Assumptions!$C$18</f>
        <v/>
      </c>
      <c r="AI9" s="15">
        <f>-AI6*Assumptions!$C$18</f>
        <v/>
      </c>
      <c r="AJ9" s="15">
        <f>-AJ6*Assumptions!$C$18</f>
        <v/>
      </c>
      <c r="AK9" s="15">
        <f>-AK6*Assumptions!$C$18</f>
        <v/>
      </c>
      <c r="AL9" s="15">
        <f>-AL6*Assumptions!$C$18</f>
        <v/>
      </c>
    </row>
    <row r="10">
      <c r="B10" s="13" t="inlineStr">
        <is>
          <t>Closing subscribers</t>
        </is>
      </c>
      <c r="C10" s="16">
        <f>C8+C9</f>
        <v/>
      </c>
      <c r="D10" s="16">
        <f>D8+D9</f>
        <v/>
      </c>
      <c r="E10" s="16">
        <f>E8+E9</f>
        <v/>
      </c>
      <c r="F10" s="16">
        <f>F8+F9</f>
        <v/>
      </c>
      <c r="G10" s="16">
        <f>G8+G9</f>
        <v/>
      </c>
      <c r="H10" s="16">
        <f>H8+H9</f>
        <v/>
      </c>
      <c r="I10" s="16">
        <f>I8+I9</f>
        <v/>
      </c>
      <c r="J10" s="16">
        <f>J8+J9</f>
        <v/>
      </c>
      <c r="K10" s="16">
        <f>K8+K9</f>
        <v/>
      </c>
      <c r="L10" s="16">
        <f>L8+L9</f>
        <v/>
      </c>
      <c r="M10" s="16">
        <f>M8+M9</f>
        <v/>
      </c>
      <c r="N10" s="16">
        <f>N8+N9</f>
        <v/>
      </c>
      <c r="O10" s="16">
        <f>O8+O9</f>
        <v/>
      </c>
      <c r="P10" s="16">
        <f>P8+P9</f>
        <v/>
      </c>
      <c r="Q10" s="16">
        <f>Q8+Q9</f>
        <v/>
      </c>
      <c r="R10" s="16">
        <f>R8+R9</f>
        <v/>
      </c>
      <c r="S10" s="16">
        <f>S8+S9</f>
        <v/>
      </c>
      <c r="T10" s="16">
        <f>T8+T9</f>
        <v/>
      </c>
      <c r="U10" s="16">
        <f>U8+U9</f>
        <v/>
      </c>
      <c r="V10" s="16">
        <f>V8+V9</f>
        <v/>
      </c>
      <c r="W10" s="16">
        <f>W8+W9</f>
        <v/>
      </c>
      <c r="X10" s="16">
        <f>X8+X9</f>
        <v/>
      </c>
      <c r="Y10" s="16">
        <f>Y8+Y9</f>
        <v/>
      </c>
      <c r="Z10" s="16">
        <f>Z8+Z9</f>
        <v/>
      </c>
      <c r="AA10" s="16">
        <f>AA8+AA9</f>
        <v/>
      </c>
      <c r="AB10" s="16">
        <f>AB8+AB9</f>
        <v/>
      </c>
      <c r="AC10" s="16">
        <f>AC8+AC9</f>
        <v/>
      </c>
      <c r="AD10" s="16">
        <f>AD8+AD9</f>
        <v/>
      </c>
      <c r="AE10" s="16">
        <f>AE8+AE9</f>
        <v/>
      </c>
      <c r="AF10" s="16">
        <f>AF8+AF9</f>
        <v/>
      </c>
      <c r="AG10" s="16">
        <f>AG8+AG9</f>
        <v/>
      </c>
      <c r="AH10" s="16">
        <f>AH8+AH9</f>
        <v/>
      </c>
      <c r="AI10" s="16">
        <f>AI8+AI9</f>
        <v/>
      </c>
      <c r="AJ10" s="16">
        <f>AJ8+AJ9</f>
        <v/>
      </c>
      <c r="AK10" s="16">
        <f>AK8+AK9</f>
        <v/>
      </c>
      <c r="AL10" s="16">
        <f>AL8+AL9</f>
        <v/>
      </c>
    </row>
    <row r="11">
      <c r="B11" s="13" t="inlineStr">
        <is>
          <t>MRR ($)</t>
        </is>
      </c>
      <c r="C11" s="15">
        <f>C10*Assumptions!$C$9</f>
        <v/>
      </c>
      <c r="D11" s="15">
        <f>D10*Assumptions!$C$9</f>
        <v/>
      </c>
      <c r="E11" s="15">
        <f>E10*Assumptions!$C$9</f>
        <v/>
      </c>
      <c r="F11" s="15">
        <f>F10*Assumptions!$C$9</f>
        <v/>
      </c>
      <c r="G11" s="15">
        <f>G10*Assumptions!$C$9</f>
        <v/>
      </c>
      <c r="H11" s="15">
        <f>H10*Assumptions!$C$9</f>
        <v/>
      </c>
      <c r="I11" s="15">
        <f>I10*Assumptions!$C$9</f>
        <v/>
      </c>
      <c r="J11" s="15">
        <f>J10*Assumptions!$C$9</f>
        <v/>
      </c>
      <c r="K11" s="15">
        <f>K10*Assumptions!$C$9</f>
        <v/>
      </c>
      <c r="L11" s="15">
        <f>L10*Assumptions!$C$9</f>
        <v/>
      </c>
      <c r="M11" s="15">
        <f>M10*Assumptions!$C$9</f>
        <v/>
      </c>
      <c r="N11" s="15">
        <f>N10*Assumptions!$C$9</f>
        <v/>
      </c>
      <c r="O11" s="15">
        <f>O10*Assumptions!$C$9</f>
        <v/>
      </c>
      <c r="P11" s="15">
        <f>P10*Assumptions!$C$9</f>
        <v/>
      </c>
      <c r="Q11" s="15">
        <f>Q10*Assumptions!$C$9</f>
        <v/>
      </c>
      <c r="R11" s="15">
        <f>R10*Assumptions!$C$9</f>
        <v/>
      </c>
      <c r="S11" s="15">
        <f>S10*Assumptions!$C$9</f>
        <v/>
      </c>
      <c r="T11" s="15">
        <f>T10*Assumptions!$C$9</f>
        <v/>
      </c>
      <c r="U11" s="15">
        <f>U10*Assumptions!$C$9</f>
        <v/>
      </c>
      <c r="V11" s="15">
        <f>V10*Assumptions!$C$9</f>
        <v/>
      </c>
      <c r="W11" s="15">
        <f>W10*Assumptions!$C$9</f>
        <v/>
      </c>
      <c r="X11" s="15">
        <f>X10*Assumptions!$C$9</f>
        <v/>
      </c>
      <c r="Y11" s="15">
        <f>Y10*Assumptions!$C$9</f>
        <v/>
      </c>
      <c r="Z11" s="15">
        <f>Z10*Assumptions!$C$9</f>
        <v/>
      </c>
      <c r="AA11" s="15">
        <f>AA10*Assumptions!$C$9</f>
        <v/>
      </c>
      <c r="AB11" s="15">
        <f>AB10*Assumptions!$C$9</f>
        <v/>
      </c>
      <c r="AC11" s="15">
        <f>AC10*Assumptions!$C$9</f>
        <v/>
      </c>
      <c r="AD11" s="15">
        <f>AD10*Assumptions!$C$9</f>
        <v/>
      </c>
      <c r="AE11" s="15">
        <f>AE10*Assumptions!$C$9</f>
        <v/>
      </c>
      <c r="AF11" s="15">
        <f>AF10*Assumptions!$C$9</f>
        <v/>
      </c>
      <c r="AG11" s="15">
        <f>AG10*Assumptions!$C$9</f>
        <v/>
      </c>
      <c r="AH11" s="15">
        <f>AH10*Assumptions!$C$9</f>
        <v/>
      </c>
      <c r="AI11" s="15">
        <f>AI10*Assumptions!$C$9</f>
        <v/>
      </c>
      <c r="AJ11" s="15">
        <f>AJ10*Assumptions!$C$9</f>
        <v/>
      </c>
      <c r="AK11" s="15">
        <f>AK10*Assumptions!$C$9</f>
        <v/>
      </c>
      <c r="AL11" s="15">
        <f>AL10*Assumptions!$C$9</f>
        <v/>
      </c>
    </row>
    <row r="12">
      <c r="B12" s="54" t="inlineStr">
        <is>
          <t>Marketing spend ($)</t>
        </is>
      </c>
      <c r="C12" s="15">
        <f>C11*Assumptions!$C$23</f>
        <v/>
      </c>
      <c r="D12" s="15">
        <f>D11*Assumptions!$C$23</f>
        <v/>
      </c>
      <c r="E12" s="15">
        <f>E11*Assumptions!$C$23</f>
        <v/>
      </c>
      <c r="F12" s="15">
        <f>F11*Assumptions!$C$23</f>
        <v/>
      </c>
      <c r="G12" s="15">
        <f>G11*Assumptions!$C$23</f>
        <v/>
      </c>
      <c r="H12" s="15">
        <f>H11*Assumptions!$C$23</f>
        <v/>
      </c>
      <c r="I12" s="15">
        <f>I11*Assumptions!$C$23</f>
        <v/>
      </c>
      <c r="J12" s="15">
        <f>J11*Assumptions!$C$23</f>
        <v/>
      </c>
      <c r="K12" s="15">
        <f>K11*Assumptions!$C$23</f>
        <v/>
      </c>
      <c r="L12" s="15">
        <f>L11*Assumptions!$C$23</f>
        <v/>
      </c>
      <c r="M12" s="15">
        <f>M11*Assumptions!$C$23</f>
        <v/>
      </c>
      <c r="N12" s="15">
        <f>N11*Assumptions!$C$23</f>
        <v/>
      </c>
      <c r="O12" s="15">
        <f>O11*Assumptions!$C$23</f>
        <v/>
      </c>
      <c r="P12" s="15">
        <f>P11*Assumptions!$C$23</f>
        <v/>
      </c>
      <c r="Q12" s="15">
        <f>Q11*Assumptions!$C$23</f>
        <v/>
      </c>
      <c r="R12" s="15">
        <f>R11*Assumptions!$C$23</f>
        <v/>
      </c>
      <c r="S12" s="15">
        <f>S11*Assumptions!$C$23</f>
        <v/>
      </c>
      <c r="T12" s="15">
        <f>T11*Assumptions!$C$23</f>
        <v/>
      </c>
      <c r="U12" s="15">
        <f>U11*Assumptions!$C$23</f>
        <v/>
      </c>
      <c r="V12" s="15">
        <f>V11*Assumptions!$C$23</f>
        <v/>
      </c>
      <c r="W12" s="15">
        <f>W11*Assumptions!$C$23</f>
        <v/>
      </c>
      <c r="X12" s="15">
        <f>X11*Assumptions!$C$23</f>
        <v/>
      </c>
      <c r="Y12" s="15">
        <f>Y11*Assumptions!$C$23</f>
        <v/>
      </c>
      <c r="Z12" s="15">
        <f>Z11*Assumptions!$C$23</f>
        <v/>
      </c>
      <c r="AA12" s="15">
        <f>AA11*Assumptions!$C$23</f>
        <v/>
      </c>
      <c r="AB12" s="15">
        <f>AB11*Assumptions!$C$23</f>
        <v/>
      </c>
      <c r="AC12" s="15">
        <f>AC11*Assumptions!$C$23</f>
        <v/>
      </c>
      <c r="AD12" s="15">
        <f>AD11*Assumptions!$C$23</f>
        <v/>
      </c>
      <c r="AE12" s="15">
        <f>AE11*Assumptions!$C$23</f>
        <v/>
      </c>
      <c r="AF12" s="15">
        <f>AF11*Assumptions!$C$23</f>
        <v/>
      </c>
      <c r="AG12" s="15">
        <f>AG11*Assumptions!$C$23</f>
        <v/>
      </c>
      <c r="AH12" s="15">
        <f>AH11*Assumptions!$C$23</f>
        <v/>
      </c>
      <c r="AI12" s="15">
        <f>AI11*Assumptions!$C$23</f>
        <v/>
      </c>
      <c r="AJ12" s="15">
        <f>AJ11*Assumptions!$C$23</f>
        <v/>
      </c>
      <c r="AK12" s="15">
        <f>AK11*Assumptions!$C$23</f>
        <v/>
      </c>
      <c r="AL12" s="15">
        <f>AL11*Assumptions!$C$23</f>
        <v/>
      </c>
    </row>
    <row r="13">
      <c r="B13" s="54" t="inlineStr">
        <is>
          <t>Prize payouts ($)</t>
        </is>
      </c>
      <c r="C13" s="28">
        <f>Assumptions!$C$10*(INT(SUM($B$10:C10)*Assumptions!$C$37*Assumptions!$C$25)-INT(SUM($B$10:B10)*Assumptions!$C$37*Assumptions!$C$25))</f>
        <v/>
      </c>
      <c r="D13" s="15">
        <f>Assumptions!$C$10*(INT(SUM($B$10:D10)*Assumptions!$C$37*Assumptions!$C$25)-INT(SUM($B$10:C10)*Assumptions!$C$37*Assumptions!$C$25))</f>
        <v/>
      </c>
      <c r="E13" s="15">
        <f>Assumptions!$C$10*(INT(SUM($B$10:E10)*Assumptions!$C$37*Assumptions!$C$25)-INT(SUM($B$10:D10)*Assumptions!$C$37*Assumptions!$C$25))</f>
        <v/>
      </c>
      <c r="F13" s="15">
        <f>Assumptions!$C$10*(INT(SUM($B$10:F10)*Assumptions!$C$37*Assumptions!$C$25)-INT(SUM($B$10:E10)*Assumptions!$C$37*Assumptions!$C$25))</f>
        <v/>
      </c>
      <c r="G13" s="15">
        <f>Assumptions!$C$10*(INT(SUM($B$10:G10)*Assumptions!$C$37*Assumptions!$C$25)-INT(SUM($B$10:F10)*Assumptions!$C$37*Assumptions!$C$25))</f>
        <v/>
      </c>
      <c r="H13" s="15">
        <f>Assumptions!$C$10*(INT(SUM($B$10:H10)*Assumptions!$C$37*Assumptions!$C$25)-INT(SUM($B$10:G10)*Assumptions!$C$37*Assumptions!$C$25))</f>
        <v/>
      </c>
      <c r="I13" s="15">
        <f>Assumptions!$C$10*(INT(SUM($B$10:I10)*Assumptions!$C$37*Assumptions!$C$25)-INT(SUM($B$10:H10)*Assumptions!$C$37*Assumptions!$C$25))</f>
        <v/>
      </c>
      <c r="J13" s="15">
        <f>Assumptions!$C$10*(INT(SUM($B$10:J10)*Assumptions!$C$37*Assumptions!$C$25)-INT(SUM($B$10:I10)*Assumptions!$C$37*Assumptions!$C$25))</f>
        <v/>
      </c>
      <c r="K13" s="15">
        <f>Assumptions!$C$10*(INT(SUM($B$10:K10)*Assumptions!$C$37*Assumptions!$C$25)-INT(SUM($B$10:J10)*Assumptions!$C$37*Assumptions!$C$25))</f>
        <v/>
      </c>
      <c r="L13" s="15">
        <f>Assumptions!$C$10*(INT(SUM($B$10:L10)*Assumptions!$C$37*Assumptions!$C$25)-INT(SUM($B$10:K10)*Assumptions!$C$37*Assumptions!$C$25))</f>
        <v/>
      </c>
      <c r="M13" s="15">
        <f>Assumptions!$C$10*(INT(SUM($B$10:M10)*Assumptions!$C$37*Assumptions!$C$25)-INT(SUM($B$10:L10)*Assumptions!$C$37*Assumptions!$C$25))</f>
        <v/>
      </c>
      <c r="N13" s="15">
        <f>Assumptions!$C$10*(INT(SUM($B$10:N10)*Assumptions!$C$37*Assumptions!$C$25)-INT(SUM($B$10:M10)*Assumptions!$C$37*Assumptions!$C$25))</f>
        <v/>
      </c>
      <c r="O13" s="15">
        <f>Assumptions!$C$10*(INT(SUM($B$10:O10)*Assumptions!$C$37*Assumptions!$C$25)-INT(SUM($B$10:N10)*Assumptions!$C$37*Assumptions!$C$25))</f>
        <v/>
      </c>
      <c r="P13" s="15">
        <f>Assumptions!$C$10*(INT(SUM($B$10:P10)*Assumptions!$C$37*Assumptions!$C$25)-INT(SUM($B$10:O10)*Assumptions!$C$37*Assumptions!$C$25))</f>
        <v/>
      </c>
      <c r="Q13" s="15">
        <f>Assumptions!$C$10*(INT(SUM($B$10:Q10)*Assumptions!$C$37*Assumptions!$C$25)-INT(SUM($B$10:P10)*Assumptions!$C$37*Assumptions!$C$25))</f>
        <v/>
      </c>
      <c r="R13" s="15">
        <f>Assumptions!$C$10*(INT(SUM($B$10:R10)*Assumptions!$C$37*Assumptions!$C$25)-INT(SUM($B$10:Q10)*Assumptions!$C$37*Assumptions!$C$25))</f>
        <v/>
      </c>
      <c r="S13" s="15">
        <f>Assumptions!$C$10*(INT(SUM($B$10:S10)*Assumptions!$C$37*Assumptions!$C$25)-INT(SUM($B$10:R10)*Assumptions!$C$37*Assumptions!$C$25))</f>
        <v/>
      </c>
      <c r="T13" s="15">
        <f>Assumptions!$C$10*(INT(SUM($B$10:T10)*Assumptions!$C$37*Assumptions!$C$25)-INT(SUM($B$10:S10)*Assumptions!$C$37*Assumptions!$C$25))</f>
        <v/>
      </c>
      <c r="U13" s="15">
        <f>Assumptions!$C$10*(INT(SUM($B$10:U10)*Assumptions!$C$37*Assumptions!$C$25)-INT(SUM($B$10:T10)*Assumptions!$C$37*Assumptions!$C$25))</f>
        <v/>
      </c>
      <c r="V13" s="15">
        <f>Assumptions!$C$10*(INT(SUM($B$10:V10)*Assumptions!$C$37*Assumptions!$C$25)-INT(SUM($B$10:U10)*Assumptions!$C$37*Assumptions!$C$25))</f>
        <v/>
      </c>
      <c r="W13" s="15">
        <f>Assumptions!$C$10*(INT(SUM($B$10:W10)*Assumptions!$C$37*Assumptions!$C$25)-INT(SUM($B$10:V10)*Assumptions!$C$37*Assumptions!$C$25))</f>
        <v/>
      </c>
      <c r="X13" s="15">
        <f>Assumptions!$C$10*(INT(SUM($B$10:X10)*Assumptions!$C$37*Assumptions!$C$25)-INT(SUM($B$10:W10)*Assumptions!$C$37*Assumptions!$C$25))</f>
        <v/>
      </c>
      <c r="Y13" s="15">
        <f>Assumptions!$C$10*(INT(SUM($B$10:Y10)*Assumptions!$C$37*Assumptions!$C$25)-INT(SUM($B$10:X10)*Assumptions!$C$37*Assumptions!$C$25))</f>
        <v/>
      </c>
      <c r="Z13" s="15">
        <f>Assumptions!$C$10*(INT(SUM($B$10:Z10)*Assumptions!$C$37*Assumptions!$C$25)-INT(SUM($B$10:Y10)*Assumptions!$C$37*Assumptions!$C$25))</f>
        <v/>
      </c>
      <c r="AA13" s="15">
        <f>Assumptions!$C$10*(INT(SUM($B$10:AA10)*Assumptions!$C$37*Assumptions!$C$25)-INT(SUM($B$10:Z10)*Assumptions!$C$37*Assumptions!$C$25))</f>
        <v/>
      </c>
      <c r="AB13" s="15">
        <f>Assumptions!$C$10*(INT(SUM($B$10:AB10)*Assumptions!$C$37*Assumptions!$C$25)-INT(SUM($B$10:AA10)*Assumptions!$C$37*Assumptions!$C$25))</f>
        <v/>
      </c>
      <c r="AC13" s="15">
        <f>Assumptions!$C$10*(INT(SUM($B$10:AC10)*Assumptions!$C$37*Assumptions!$C$25)-INT(SUM($B$10:AB10)*Assumptions!$C$37*Assumptions!$C$25))</f>
        <v/>
      </c>
      <c r="AD13" s="15">
        <f>Assumptions!$C$10*(INT(SUM($B$10:AD10)*Assumptions!$C$37*Assumptions!$C$25)-INT(SUM($B$10:AC10)*Assumptions!$C$37*Assumptions!$C$25))</f>
        <v/>
      </c>
      <c r="AE13" s="15">
        <f>Assumptions!$C$10*(INT(SUM($B$10:AE10)*Assumptions!$C$37*Assumptions!$C$25)-INT(SUM($B$10:AD10)*Assumptions!$C$37*Assumptions!$C$25))</f>
        <v/>
      </c>
      <c r="AF13" s="15">
        <f>Assumptions!$C$10*(INT(SUM($B$10:AF10)*Assumptions!$C$37*Assumptions!$C$25)-INT(SUM($B$10:AE10)*Assumptions!$C$37*Assumptions!$C$25))</f>
        <v/>
      </c>
      <c r="AG13" s="15">
        <f>Assumptions!$C$10*(INT(SUM($B$10:AG10)*Assumptions!$C$37*Assumptions!$C$25)-INT(SUM($B$10:AF10)*Assumptions!$C$37*Assumptions!$C$25))</f>
        <v/>
      </c>
      <c r="AH13" s="15">
        <f>Assumptions!$C$10*(INT(SUM($B$10:AH10)*Assumptions!$C$37*Assumptions!$C$25)-INT(SUM($B$10:AG10)*Assumptions!$C$37*Assumptions!$C$25))</f>
        <v/>
      </c>
      <c r="AI13" s="15">
        <f>Assumptions!$C$10*(INT(SUM($B$10:AI10)*Assumptions!$C$37*Assumptions!$C$25)-INT(SUM($B$10:AH10)*Assumptions!$C$37*Assumptions!$C$25))</f>
        <v/>
      </c>
      <c r="AJ13" s="15">
        <f>Assumptions!$C$10*(INT(SUM($B$10:AJ10)*Assumptions!$C$37*Assumptions!$C$25)-INT(SUM($B$10:AI10)*Assumptions!$C$37*Assumptions!$C$25))</f>
        <v/>
      </c>
      <c r="AK13" s="15">
        <f>Assumptions!$C$10*(INT(SUM($B$10:AK10)*Assumptions!$C$37*Assumptions!$C$25)-INT(SUM($B$10:AJ10)*Assumptions!$C$37*Assumptions!$C$25))</f>
        <v/>
      </c>
      <c r="AL13" s="15">
        <f>Assumptions!$C$10*(INT(SUM($B$10:AL10)*Assumptions!$C$37*Assumptions!$C$25)-INT(SUM($B$10:AK10)*Assumptions!$C$37*Assumptions!$C$25))</f>
        <v/>
      </c>
    </row>
    <row r="14">
      <c r="B14" s="54" t="inlineStr">
        <is>
          <t>Sponsorship ($)</t>
        </is>
      </c>
      <c r="C14" s="28">
        <f>Assumptions!$C$35/12*C10/$C$10</f>
        <v/>
      </c>
      <c r="D14" s="15">
        <f>Assumptions!$C$35/12*D10/$C$10</f>
        <v/>
      </c>
      <c r="E14" s="15">
        <f>Assumptions!$C$35/12*E10/$C$10</f>
        <v/>
      </c>
      <c r="F14" s="15">
        <f>Assumptions!$C$35/12*F10/$C$10</f>
        <v/>
      </c>
      <c r="G14" s="15">
        <f>Assumptions!$C$35/12*G10/$C$10</f>
        <v/>
      </c>
      <c r="H14" s="15">
        <f>Assumptions!$C$35/12*H10/$C$10</f>
        <v/>
      </c>
      <c r="I14" s="15">
        <f>Assumptions!$C$35/12*I10/$C$10</f>
        <v/>
      </c>
      <c r="J14" s="15">
        <f>Assumptions!$C$35/12*J10/$C$10</f>
        <v/>
      </c>
      <c r="K14" s="15">
        <f>Assumptions!$C$35/12*K10/$C$10</f>
        <v/>
      </c>
      <c r="L14" s="15">
        <f>Assumptions!$C$35/12*L10/$C$10</f>
        <v/>
      </c>
      <c r="M14" s="15">
        <f>Assumptions!$C$35/12*M10/$C$10</f>
        <v/>
      </c>
      <c r="N14" s="15">
        <f>Assumptions!$C$35/12*N10/$C$10</f>
        <v/>
      </c>
      <c r="O14" s="15">
        <f>Assumptions!$C$35/12*O10/$C$10</f>
        <v/>
      </c>
      <c r="P14" s="15">
        <f>Assumptions!$C$35/12*P10/$C$10</f>
        <v/>
      </c>
      <c r="Q14" s="15">
        <f>Assumptions!$C$35/12*Q10/$C$10</f>
        <v/>
      </c>
      <c r="R14" s="15">
        <f>Assumptions!$C$35/12*R10/$C$10</f>
        <v/>
      </c>
      <c r="S14" s="15">
        <f>Assumptions!$C$35/12*S10/$C$10</f>
        <v/>
      </c>
      <c r="T14" s="15">
        <f>Assumptions!$C$35/12*T10/$C$10</f>
        <v/>
      </c>
      <c r="U14" s="15">
        <f>Assumptions!$C$35/12*U10/$C$10</f>
        <v/>
      </c>
      <c r="V14" s="15">
        <f>Assumptions!$C$35/12*V10/$C$10</f>
        <v/>
      </c>
      <c r="W14" s="15">
        <f>Assumptions!$C$35/12*W10/$C$10</f>
        <v/>
      </c>
      <c r="X14" s="15">
        <f>Assumptions!$C$35/12*X10/$C$10</f>
        <v/>
      </c>
      <c r="Y14" s="15">
        <f>Assumptions!$C$35/12*Y10/$C$10</f>
        <v/>
      </c>
      <c r="Z14" s="15">
        <f>Assumptions!$C$35/12*Z10/$C$10</f>
        <v/>
      </c>
      <c r="AA14" s="15">
        <f>Assumptions!$C$35/12*AA10/$C$10</f>
        <v/>
      </c>
      <c r="AB14" s="15">
        <f>Assumptions!$C$35/12*AB10/$C$10</f>
        <v/>
      </c>
      <c r="AC14" s="15">
        <f>Assumptions!$C$35/12*AC10/$C$10</f>
        <v/>
      </c>
      <c r="AD14" s="15">
        <f>Assumptions!$C$35/12*AD10/$C$10</f>
        <v/>
      </c>
      <c r="AE14" s="15">
        <f>Assumptions!$C$35/12*AE10/$C$10</f>
        <v/>
      </c>
      <c r="AF14" s="15">
        <f>Assumptions!$C$35/12*AF10/$C$10</f>
        <v/>
      </c>
      <c r="AG14" s="15">
        <f>Assumptions!$C$35/12*AG10/$C$10</f>
        <v/>
      </c>
      <c r="AH14" s="15">
        <f>Assumptions!$C$35/12*AH10/$C$10</f>
        <v/>
      </c>
      <c r="AI14" s="15">
        <f>Assumptions!$C$35/12*AI10/$C$10</f>
        <v/>
      </c>
      <c r="AJ14" s="15">
        <f>Assumptions!$C$35/12*AJ10/$C$10</f>
        <v/>
      </c>
      <c r="AK14" s="15">
        <f>Assumptions!$C$35/12*AK10/$C$10</f>
        <v/>
      </c>
      <c r="AL14" s="15">
        <f>Assumptions!$C$35/12*AL10/$C$10</f>
        <v/>
      </c>
    </row>
  </sheetData>
  <mergeCells count="2">
    <mergeCell ref="B3:H3"/>
    <mergeCell ref="B2:E2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52" customWidth="1" min="9" max="9"/>
  </cols>
  <sheetData>
    <row r="2">
      <c r="B2" s="64" t="inlineStr">
        <is>
          <t>SIMULATOR CHANNEL</t>
        </is>
      </c>
    </row>
    <row r="3">
      <c r="B3" s="65" t="inlineStr">
        <is>
          <t>Blue = change me.  Yellow = key assumption.  Black = calculated.</t>
        </is>
      </c>
    </row>
    <row r="5">
      <c r="B5" s="66" t="inlineStr">
        <is>
          <t>STATUS</t>
        </is>
      </c>
      <c r="C5" s="66" t="inlineStr"/>
      <c r="D5" s="66" t="inlineStr"/>
    </row>
    <row r="6">
      <c r="B6" s="67" t="inlineStr">
        <is>
          <t>Stream status</t>
        </is>
      </c>
      <c r="C6" s="100" t="inlineStr">
        <is>
          <t>LAUNCHING 2027</t>
        </is>
      </c>
      <c r="E6" s="115" t="inlineStr">
        <is>
          <t>Revenue stream 4 of 4. Integration funded by this round (20% of the R8m raise).</t>
        </is>
      </c>
    </row>
    <row r="7">
      <c r="B7" s="67" t="inlineStr">
        <is>
          <t>Lead target operator</t>
        </is>
      </c>
      <c r="C7" s="67" t="inlineStr">
        <is>
          <t>Golfzon</t>
        </is>
      </c>
      <c r="E7" s="115" t="inlineStr">
        <is>
          <t>6,500+ venues, ~60% of the global commercial simulator market (Forbes / Seoulz).</t>
        </is>
      </c>
    </row>
    <row r="8">
      <c r="B8" s="67" t="inlineStr">
        <is>
          <t>Route to market</t>
        </is>
      </c>
      <c r="C8" s="67" t="inlineStr">
        <is>
          <t>Ernie Els — direct relationships</t>
        </is>
      </c>
      <c r="E8" s="115" t="inlineStr">
        <is>
          <t>Ernie Els has direct relationships with the target operators and opens the door himself. Access, not a contract.</t>
        </is>
      </c>
    </row>
    <row r="9">
      <c r="B9" t="inlineStr">
        <is>
          <t>Operator agreements</t>
        </is>
      </c>
      <c r="C9" s="67" t="inlineStr">
        <is>
          <t>Not yet signed</t>
        </is>
      </c>
      <c r="E9" s="101" t="inlineStr">
        <is>
          <t>No operator agreement is signed as at August 2026. Simulator revenue depends on concluding one.</t>
        </is>
      </c>
    </row>
    <row r="10">
      <c r="B10" s="66" t="inlineStr">
        <is>
          <t>UNIT ECONOMICS</t>
        </is>
      </c>
      <c r="C10" s="66" t="inlineStr"/>
      <c r="D10" s="66" t="inlineStr"/>
    </row>
    <row r="11">
      <c r="B11" s="67" t="inlineStr">
        <is>
          <t>Entry price (USD)</t>
        </is>
      </c>
      <c r="C11" s="70" t="n">
        <v>1</v>
      </c>
      <c r="E11" s="115" t="inlineStr">
        <is>
          <t>Price per in-sim challenge, charged inside the operator software.</t>
        </is>
      </c>
    </row>
    <row r="12">
      <c r="B12" s="67" t="inlineStr">
        <is>
          <t>Insured prize (USD)</t>
        </is>
      </c>
      <c r="C12" s="70" t="n">
        <v>1000</v>
      </c>
      <c r="E12" s="115" t="inlineStr">
        <is>
          <t>Paid by the insurer on a verified ace. Get Lucky carries no prize risk.</t>
        </is>
      </c>
    </row>
    <row r="13">
      <c r="B13" s="67" t="inlineStr">
        <is>
          <t>Get Lucky share of entry</t>
        </is>
      </c>
      <c r="C13" s="71" t="n">
        <v>0.46</v>
      </c>
      <c r="E13" s="115" t="inlineStr">
        <is>
          <t>Residual after operator and insurer shares. Key commercial assumption — confirm on signature.</t>
        </is>
      </c>
    </row>
    <row r="14">
      <c r="B14" s="67" t="inlineStr">
        <is>
          <t>Operator share of entry</t>
        </is>
      </c>
      <c r="C14" s="71" t="n">
        <v>0.3</v>
      </c>
      <c r="E14" s="115" t="inlineStr">
        <is>
          <t>More than a course 10%: the operator brings venues, software surface and distribution; Get Lucky installs no hardware.</t>
        </is>
      </c>
    </row>
    <row r="15">
      <c r="B15" s="67" t="inlineStr">
        <is>
          <t>Insurer share of entry</t>
        </is>
      </c>
      <c r="C15" s="72" t="n">
        <v>0.24</v>
      </c>
      <c r="E15" s="115" t="inlineStr">
        <is>
          <t>Held identical to the on-course insurance premium assumption.</t>
        </is>
      </c>
    </row>
    <row r="16">
      <c r="B16" s="67" t="inlineStr">
        <is>
          <t>Check — shares total 100%</t>
        </is>
      </c>
      <c r="C16" s="73">
        <f>C13+C14+C15</f>
        <v/>
      </c>
      <c r="E16" s="115" t="inlineStr">
        <is>
          <t>Must read 100.0%.</t>
        </is>
      </c>
    </row>
    <row r="17">
      <c r="B17" s="67" t="inlineStr">
        <is>
          <t>EBITDA margin on Get Lucky share</t>
        </is>
      </c>
      <c r="C17" s="71" t="n">
        <v>0.5</v>
      </c>
      <c r="E17" s="115" t="inlineStr">
        <is>
          <t>Software-only channel: no cameras, no installation, no course revenue share. After integration engineering, operator marketing support and platform ops.</t>
        </is>
      </c>
    </row>
    <row r="19">
      <c r="B19" s="66" t="inlineStr">
        <is>
          <t>VOLUME BASIS</t>
        </is>
      </c>
      <c r="C19" s="66" t="inlineStr"/>
      <c r="D19" s="66" t="inlineStr"/>
    </row>
    <row r="20">
      <c r="B20" s="67" t="inlineStr">
        <is>
          <t>Simulator rounds per year — South Korea</t>
        </is>
      </c>
      <c r="C20" s="74" t="n">
        <v>94000000</v>
      </c>
      <c r="E20" s="115" t="inlineStr">
        <is>
          <t>Source: GOLF.com — ~94M rounds logged on Golfzon simulators in South Korea in a single year. Korea ONLY: Golfzon venues elsewhere and all other operators are excluded from this model.</t>
        </is>
      </c>
    </row>
    <row r="22">
      <c r="B22" s="66" t="inlineStr">
        <is>
          <t>ANNUAL RAMP</t>
        </is>
      </c>
      <c r="C22" s="66" t="inlineStr"/>
      <c r="D22" s="66" t="inlineStr"/>
      <c r="E22" s="66" t="inlineStr"/>
      <c r="F22" s="66" t="inlineStr"/>
      <c r="G22" s="66" t="inlineStr"/>
    </row>
    <row r="23">
      <c r="B23" s="75" t="inlineStr">
        <is>
          <t>Metric</t>
        </is>
      </c>
      <c r="C23" s="76" t="inlineStr">
        <is>
          <t>2026</t>
        </is>
      </c>
      <c r="D23" s="76" t="inlineStr">
        <is>
          <t>2027</t>
        </is>
      </c>
      <c r="E23" s="76" t="inlineStr">
        <is>
          <t>2028</t>
        </is>
      </c>
      <c r="F23" s="76" t="inlineStr">
        <is>
          <t>2029</t>
        </is>
      </c>
      <c r="G23" s="76" t="inlineStr">
        <is>
          <t>2032</t>
        </is>
      </c>
    </row>
    <row r="24">
      <c r="B24" s="67" t="inlineStr">
        <is>
          <t>Attach rate (% of Korea rounds)</t>
        </is>
      </c>
      <c r="C24" s="77" t="n">
        <v>0</v>
      </c>
      <c r="D24" s="77" t="n">
        <v>0.003</v>
      </c>
      <c r="E24" s="77" t="n">
        <v>0.008</v>
      </c>
      <c r="F24" s="77" t="n">
        <v>0.015</v>
      </c>
      <c r="G24" s="77" t="n">
        <v>0.04</v>
      </c>
      <c r="I24" s="115" t="inlineStr">
        <is>
          <t>2026 is an integration year — no revenue modelled.</t>
        </is>
      </c>
    </row>
    <row r="25">
      <c r="B25" s="67" t="inlineStr">
        <is>
          <t>Paid challenges</t>
        </is>
      </c>
      <c r="C25" s="78">
        <f>$C$20*C24</f>
        <v/>
      </c>
      <c r="D25" s="78">
        <f>$C$20*D24</f>
        <v/>
      </c>
      <c r="E25" s="78">
        <f>$C$20*E24</f>
        <v/>
      </c>
      <c r="F25" s="78">
        <f>$C$20*F24</f>
        <v/>
      </c>
      <c r="G25" s="78">
        <f>$C$20*G24</f>
        <v/>
      </c>
    </row>
    <row r="26">
      <c r="B26" s="67" t="inlineStr">
        <is>
          <t>Gross entry revenue ($)</t>
        </is>
      </c>
      <c r="C26" s="79">
        <f>C25*$C$11</f>
        <v/>
      </c>
      <c r="D26" s="79">
        <f>D25*$C$11</f>
        <v/>
      </c>
      <c r="E26" s="79">
        <f>E25*$C$11</f>
        <v/>
      </c>
      <c r="F26" s="79">
        <f>F25*$C$11</f>
        <v/>
      </c>
      <c r="G26" s="79">
        <f>G25*$C$11</f>
        <v/>
      </c>
    </row>
    <row r="27">
      <c r="B27" s="75" t="inlineStr">
        <is>
          <t>Revenue to Get Lucky ($)</t>
        </is>
      </c>
      <c r="C27" s="80">
        <f>C26*$C$13</f>
        <v/>
      </c>
      <c r="D27" s="80">
        <f>D26*$C$13</f>
        <v/>
      </c>
      <c r="E27" s="80">
        <f>E26*$C$13</f>
        <v/>
      </c>
      <c r="F27" s="80">
        <f>F26*$C$13</f>
        <v/>
      </c>
      <c r="G27" s="80">
        <f>G26*$C$13</f>
        <v/>
      </c>
      <c r="I27" s="115" t="inlineStr">
        <is>
          <t>This row feeds the Valuation tab (2026 = col C, 2029 = col F, 2032 = col G).</t>
        </is>
      </c>
    </row>
    <row r="28">
      <c r="B28" s="67" t="inlineStr">
        <is>
          <t>EBITDA contribution ($)</t>
        </is>
      </c>
      <c r="C28" s="79">
        <f>C27*$C$17</f>
        <v/>
      </c>
      <c r="D28" s="79">
        <f>D27*$C$17</f>
        <v/>
      </c>
      <c r="E28" s="79">
        <f>E27*$C$17</f>
        <v/>
      </c>
      <c r="F28" s="79">
        <f>F27*$C$17</f>
        <v/>
      </c>
      <c r="G28" s="79">
        <f>G27*$C$17</f>
        <v/>
      </c>
    </row>
    <row r="29">
      <c r="B29" s="67" t="inlineStr">
        <is>
          <t>Memo — revenue to Get Lucky (ZAR)</t>
        </is>
      </c>
      <c r="C29" s="81">
        <f>C27*Assumptions!$C$11</f>
        <v/>
      </c>
      <c r="D29" s="81">
        <f>D27*Assumptions!$C$11</f>
        <v/>
      </c>
      <c r="E29" s="81">
        <f>E27*Assumptions!$C$11</f>
        <v/>
      </c>
      <c r="F29" s="81">
        <f>F27*Assumptions!$C$11</f>
        <v/>
      </c>
      <c r="G29" s="81">
        <f>G27*Assumptions!$C$11</f>
        <v/>
      </c>
    </row>
    <row r="31">
      <c r="B31" s="66" t="inlineStr">
        <is>
          <t>SENSITIVITY — 2029</t>
        </is>
      </c>
      <c r="C31" s="66" t="inlineStr"/>
      <c r="D31" s="66" t="inlineStr"/>
      <c r="E31" s="66" t="inlineStr"/>
      <c r="F31" s="66" t="inlineStr"/>
      <c r="G31" s="66" t="inlineStr"/>
    </row>
    <row r="32">
      <c r="B32" s="76" t="inlineStr">
        <is>
          <t>Attach rate</t>
        </is>
      </c>
      <c r="C32" s="76" t="inlineStr">
        <is>
          <t>Simulator revenue ($)</t>
        </is>
      </c>
      <c r="D32" s="76" t="inlineStr">
        <is>
          <t>Total revenue ($)</t>
        </is>
      </c>
      <c r="E32" s="76" t="inlineStr">
        <is>
          <t>Valuation ($)</t>
        </is>
      </c>
      <c r="F32" s="76" t="inlineStr">
        <is>
          <t>Valuation (ZAR)</t>
        </is>
      </c>
      <c r="G32" s="76" t="inlineStr">
        <is>
          <t>Investor multiple</t>
        </is>
      </c>
    </row>
    <row r="33">
      <c r="B33" s="77" t="n">
        <v>0</v>
      </c>
      <c r="C33" s="79">
        <f>$C$20*B33*$C$11*$C$13</f>
        <v/>
      </c>
      <c r="D33" s="79">
        <f>Valuation!$D$9+C33</f>
        <v/>
      </c>
      <c r="E33" s="79">
        <f>D33*Assumptions!$C$30</f>
        <v/>
      </c>
      <c r="F33" s="82">
        <f>E33*Assumptions!$C$11</f>
        <v/>
      </c>
      <c r="G33" s="98">
        <f>E33/Assumptions!$C$8</f>
        <v/>
      </c>
      <c r="I33" s="115" t="inlineStr">
        <is>
          <t>no adoption — model floor</t>
        </is>
      </c>
    </row>
    <row r="34">
      <c r="B34" s="77" t="n">
        <v>0.005</v>
      </c>
      <c r="C34" s="79">
        <f>$C$20*B34*$C$11*$C$13</f>
        <v/>
      </c>
      <c r="D34" s="79">
        <f>Valuation!$D$9+C34</f>
        <v/>
      </c>
      <c r="E34" s="79">
        <f>D34*Assumptions!$C$30</f>
        <v/>
      </c>
      <c r="F34" s="82">
        <f>E34*Assumptions!$C$11</f>
        <v/>
      </c>
      <c r="G34" s="98">
        <f>E34/Assumptions!$C$8</f>
        <v/>
      </c>
      <c r="I34" s="115" t="inlineStr">
        <is>
          <t>conservative</t>
        </is>
      </c>
    </row>
    <row r="35">
      <c r="B35" s="77" t="n">
        <v>0.015</v>
      </c>
      <c r="C35" s="79">
        <f>$C$20*B35*$C$11*$C$13</f>
        <v/>
      </c>
      <c r="D35" s="79">
        <f>Valuation!$D$9+C35</f>
        <v/>
      </c>
      <c r="E35" s="79">
        <f>D35*Assumptions!$C$30</f>
        <v/>
      </c>
      <c r="F35" s="82">
        <f>E35*Assumptions!$C$11</f>
        <v/>
      </c>
      <c r="G35" s="98">
        <f>E35/Assumptions!$C$8</f>
        <v/>
      </c>
      <c r="I35" s="115" t="inlineStr">
        <is>
          <t>the plan</t>
        </is>
      </c>
    </row>
    <row r="36">
      <c r="B36" s="77" t="n">
        <v>0.03</v>
      </c>
      <c r="C36" s="79">
        <f>$C$20*B36*$C$11*$C$13</f>
        <v/>
      </c>
      <c r="D36" s="79">
        <f>Valuation!$D$9+C36</f>
        <v/>
      </c>
      <c r="E36" s="79">
        <f>D36*Assumptions!$C$30</f>
        <v/>
      </c>
      <c r="F36" s="82">
        <f>E36*Assumptions!$C$11</f>
        <v/>
      </c>
      <c r="G36" s="98">
        <f>E36/Assumptions!$C$8</f>
        <v/>
      </c>
      <c r="I36" s="115" t="inlineStr">
        <is>
          <t>strong</t>
        </is>
      </c>
    </row>
    <row r="38">
      <c r="B38" s="115" t="inlineStr">
        <is>
          <t>Investor multiple = company valuation at the 2029 milestone divided by the post-money valuation of this round. Attach rate is a live input — set it to zero to model the group without the simulator stream.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40" customWidth="1" min="3" max="3"/>
    <col width="12" customWidth="1" min="4" max="4"/>
    <col width="16" customWidth="1" min="5" max="5"/>
    <col width="16" customWidth="1" min="6" max="6"/>
    <col width="16" customWidth="1" min="7" max="7"/>
    <col width="3" customWidth="1" min="8" max="8"/>
    <col width="52" customWidth="1" min="9" max="9"/>
  </cols>
  <sheetData>
    <row r="2">
      <c r="B2" s="64" t="inlineStr">
        <is>
          <t>TERRITORY SPONSORSHIP</t>
        </is>
      </c>
    </row>
    <row r="3">
      <c r="B3" s="65" t="inlineStr">
        <is>
          <t>Blue = change me.  Yellow = key assumption.  Black = calculated.</t>
        </is>
      </c>
    </row>
    <row r="5">
      <c r="B5" s="66" t="inlineStr">
        <is>
          <t>THE PROOF POINT</t>
        </is>
      </c>
      <c r="C5" s="66" t="inlineStr"/>
      <c r="D5" s="66" t="inlineStr"/>
      <c r="E5" s="66" t="inlineStr"/>
      <c r="F5" s="66" t="inlineStr"/>
      <c r="G5" s="66" t="inlineStr"/>
    </row>
    <row r="6">
      <c r="B6" s="67" t="inlineStr">
        <is>
          <t>Market</t>
        </is>
      </c>
      <c r="C6" s="67" t="inlineStr">
        <is>
          <t>South Africa</t>
        </is>
      </c>
      <c r="E6" s="115" t="inlineStr">
        <is>
          <t>Sponsorship is the one line in the plan that was signed rather than forecast.</t>
        </is>
      </c>
    </row>
    <row r="7">
      <c r="B7" s="67" t="inlineStr">
        <is>
          <t>Partner</t>
        </is>
      </c>
      <c r="C7" s="67" t="inlineStr">
        <is>
          <t>Santam (Authorised FSP 3416)</t>
        </is>
      </c>
    </row>
    <row r="8">
      <c r="B8" s="67" t="inlineStr">
        <is>
          <t>Status</t>
        </is>
      </c>
      <c r="C8" s="100" t="inlineStr">
        <is>
          <t>CONTRACTED</t>
        </is>
      </c>
    </row>
    <row r="9">
      <c r="B9" s="67" t="inlineStr">
        <is>
          <t>Deal value (ZAR)</t>
        </is>
      </c>
      <c r="C9" s="82" t="n">
        <v>9000000</v>
      </c>
      <c r="E9" s="115" t="inlineStr">
        <is>
          <t>R9m over three years, in a market of roughly 150,000 golfers.</t>
        </is>
      </c>
    </row>
    <row r="10">
      <c r="B10" s="67" t="inlineStr">
        <is>
          <t>Year 1 / 2 / 3 (ZAR)</t>
        </is>
      </c>
      <c r="C10" s="67" t="inlineStr">
        <is>
          <t>R2.5m  -&gt;  R3.0m  -&gt;  R3.5m</t>
        </is>
      </c>
    </row>
    <row r="11">
      <c r="B11" s="67" t="inlineStr">
        <is>
          <t>Golfer market</t>
        </is>
      </c>
      <c r="C11" s="78" t="n">
        <v>150000</v>
      </c>
      <c r="E11" s="115" t="inlineStr">
        <is>
          <t>The insurer who underwrites the prize is the natural sponsor of it — which is why the deal was signable in a small market and why it repeats in large ones.</t>
        </is>
      </c>
    </row>
    <row r="13">
      <c r="B13" s="115" t="inlineStr">
        <is>
          <t>South African sponsorship already sits in the "Sponsorship revenue" row of the Valuation tab, off the monthly build. This tab models NEW territories only, so nothing is double-counted.</t>
        </is>
      </c>
    </row>
    <row r="15">
      <c r="B15" s="66" t="inlineStr">
        <is>
          <t>NEW TERRITORIES</t>
        </is>
      </c>
      <c r="C15" s="66" t="inlineStr"/>
      <c r="D15" s="66" t="inlineStr"/>
      <c r="E15" s="66" t="inlineStr"/>
      <c r="F15" s="66" t="inlineStr"/>
      <c r="G15" s="66" t="inlineStr"/>
    </row>
    <row r="16">
      <c r="B16" s="76" t="inlineStr">
        <is>
          <t>Market</t>
        </is>
      </c>
      <c r="C16" s="76" t="inlineStr">
        <is>
          <t>Anchor partner</t>
        </is>
      </c>
      <c r="D16" s="76" t="inlineStr">
        <is>
          <t>Entry</t>
        </is>
      </c>
      <c r="E16" s="76" t="inlineStr">
        <is>
          <t>2026</t>
        </is>
      </c>
      <c r="F16" s="76" t="inlineStr">
        <is>
          <t>2029</t>
        </is>
      </c>
      <c r="G16" s="76" t="inlineStr">
        <is>
          <t>2032</t>
        </is>
      </c>
    </row>
    <row r="17">
      <c r="B17" s="67" t="inlineStr">
        <is>
          <t>United States</t>
        </is>
      </c>
      <c r="C17" s="67" t="inlineStr">
        <is>
          <t>Anchor insurer partner — appointed at market entry</t>
        </is>
      </c>
      <c r="D17" s="103" t="n">
        <v>2029</v>
      </c>
      <c r="E17" s="104" t="n">
        <v>0</v>
      </c>
      <c r="F17" s="104" t="n">
        <v>2000000</v>
      </c>
      <c r="G17" s="104" t="n">
        <v>4000000</v>
      </c>
      <c r="I17" s="115" t="inlineStr">
        <is>
          <t>Live input — set each territory to what you believe.</t>
        </is>
      </c>
    </row>
    <row r="18">
      <c r="B18" s="67" t="inlineStr">
        <is>
          <t>Europe</t>
        </is>
      </c>
      <c r="C18" s="67" t="inlineStr">
        <is>
          <t>Anchor insurer partner — appointed at market entry</t>
        </is>
      </c>
      <c r="D18" s="103" t="n">
        <v>2030</v>
      </c>
      <c r="E18" s="104" t="n">
        <v>0</v>
      </c>
      <c r="F18" s="104" t="n">
        <v>0</v>
      </c>
      <c r="G18" s="104" t="n">
        <v>3000000</v>
      </c>
    </row>
    <row r="19">
      <c r="B19" s="67" t="inlineStr">
        <is>
          <t>Japan</t>
        </is>
      </c>
      <c r="C19" s="67" t="inlineStr">
        <is>
          <t>Anchor insurer partner — appointed at market entry</t>
        </is>
      </c>
      <c r="D19" s="103" t="n">
        <v>2031</v>
      </c>
      <c r="E19" s="104" t="n">
        <v>0</v>
      </c>
      <c r="F19" s="104" t="n">
        <v>0</v>
      </c>
      <c r="G19" s="104" t="n">
        <v>2000000</v>
      </c>
    </row>
    <row r="20">
      <c r="B20" s="75" t="inlineStr">
        <is>
          <t>Total new-territory sponsorship (ZAR)</t>
        </is>
      </c>
      <c r="E20" s="105">
        <f>SUM(E17:E19)</f>
        <v/>
      </c>
      <c r="F20" s="105">
        <f>SUM(F17:F19)</f>
        <v/>
      </c>
      <c r="G20" s="105">
        <f>SUM(G17:G19)</f>
        <v/>
      </c>
    </row>
    <row r="21">
      <c r="B21" s="75" t="inlineStr">
        <is>
          <t>Total new-territory sponsorship ($)</t>
        </is>
      </c>
      <c r="E21" s="80">
        <f>E20/Assumptions!$C$11</f>
        <v/>
      </c>
      <c r="F21" s="80">
        <f>F20/Assumptions!$C$11</f>
        <v/>
      </c>
      <c r="G21" s="80">
        <f>G20/Assumptions!$C$11</f>
        <v/>
      </c>
      <c r="I21" s="115" t="inlineStr">
        <is>
          <t>This row feeds the Valuation tab (2026 = col E, 2029 = col F, 2032 = col G).</t>
        </is>
      </c>
    </row>
    <row r="22">
      <c r="B22" s="67" t="inlineStr">
        <is>
          <t>EBITDA margin on sponsorship</t>
        </is>
      </c>
      <c r="C22" s="71" t="n">
        <v>0.6</v>
      </c>
      <c r="E22" s="115" t="inlineStr">
        <is>
          <t>After local activation and partner servicing cost.</t>
        </is>
      </c>
    </row>
    <row r="24">
      <c r="B24" s="115" t="inlineStr">
        <is>
          <t>Every new-territory figure is set BELOW the South African run-rate at entry, in markets many times its size. Sponsorship is negotiated and lumpy: a linear scale off golfer counts would produce numbers no sponsor would sign. New-territory partners are appointed as each market opens and are not yet in place.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12" customWidth="1" min="4" max="4"/>
    <col width="18" customWidth="1" min="5" max="5"/>
    <col width="18" customWidth="1" min="6" max="6"/>
    <col width="18" customWidth="1" min="7" max="7"/>
    <col width="3" customWidth="1" min="8" max="8"/>
    <col width="60" customWidth="1" min="9" max="9"/>
  </cols>
  <sheetData>
    <row r="2">
      <c r="B2" s="64" t="inlineStr">
        <is>
          <t>IN-PLAY UPSELLS</t>
        </is>
      </c>
    </row>
    <row r="3">
      <c r="B3" s="65" t="inlineStr">
        <is>
          <t>Blue = change me.  Yellow = key assumption.  Black = calculated.</t>
        </is>
      </c>
    </row>
    <row r="4">
      <c r="B4" s="115" t="inlineStr">
        <is>
          <t>Sold AFTER the entry, when the golfer has already paid and is standing over the ball. Upsells attach to attempts already in the model — they never create new volume, so there is no double-count.</t>
        </is>
      </c>
    </row>
    <row r="6">
      <c r="B6" s="66" t="inlineStr">
        <is>
          <t>THE MENU</t>
        </is>
      </c>
      <c r="C6" s="66" t="inlineStr"/>
      <c r="D6" s="66" t="inlineStr"/>
      <c r="E6" s="66" t="inlineStr"/>
      <c r="F6" s="66" t="inlineStr"/>
      <c r="G6" s="66" t="inlineStr"/>
    </row>
    <row r="7">
      <c r="B7" s="76" t="inlineStr">
        <is>
          <t>Upsell</t>
        </is>
      </c>
      <c r="C7" s="76" t="inlineStr">
        <is>
          <t>Price</t>
        </is>
      </c>
      <c r="D7" s="76" t="inlineStr">
        <is>
          <t>Insured</t>
        </is>
      </c>
      <c r="E7" s="76" t="inlineStr">
        <is>
          <t>What it does</t>
        </is>
      </c>
    </row>
    <row r="8">
      <c r="B8" s="67" t="inlineStr">
        <is>
          <t>Jackpot upgrade</t>
        </is>
      </c>
      <c r="C8" s="67" t="inlineStr">
        <is>
          <t>$100</t>
        </is>
      </c>
      <c r="D8" s="67" t="inlineStr">
        <is>
          <t>Yes</t>
        </is>
      </c>
      <c r="E8" s="123" t="inlineStr">
        <is>
          <t>Trade up mid-round to a shot at a $100,000 insured prize instead of the standard pot.</t>
        </is>
      </c>
    </row>
    <row r="9">
      <c r="B9" s="67" t="inlineStr">
        <is>
          <t>Double up</t>
        </is>
      </c>
      <c r="C9" s="67" t="inlineStr">
        <is>
          <t>$5</t>
        </is>
      </c>
      <c r="D9" s="67" t="inlineStr">
        <is>
          <t>Yes</t>
        </is>
      </c>
      <c r="E9" s="123" t="inlineStr">
        <is>
          <t>Doubles the prize if the shot goes in. Cheapest yes on the menu, highest attach.</t>
        </is>
      </c>
    </row>
    <row r="10">
      <c r="B10" s="67" t="inlineStr">
        <is>
          <t>Three for two</t>
        </is>
      </c>
      <c r="C10" s="67" t="inlineStr">
        <is>
          <t>2x entry</t>
        </is>
      </c>
      <c r="D10" s="67" t="inlineStr">
        <is>
          <t>Yes</t>
        </is>
      </c>
      <c r="E10" s="123" t="inlineStr">
        <is>
          <t>Three swings for the price of two. More attempts per visit, same prize exposure.</t>
        </is>
      </c>
    </row>
    <row r="11">
      <c r="B11" s="67" t="inlineStr">
        <is>
          <t>Nearest the pin</t>
        </is>
      </c>
      <c r="C11" s="67" t="inlineStr">
        <is>
          <t>$3</t>
        </is>
      </c>
      <c r="D11" s="67" t="inlineStr">
        <is>
          <t>Yes</t>
        </is>
      </c>
      <c r="E11" s="123" t="inlineStr">
        <is>
          <t>Guaranteed prize inside three feet — monetises the 12,499 shots in 12,500 that are not an ace.</t>
        </is>
      </c>
    </row>
    <row r="12">
      <c r="B12" s="67" t="inlineStr">
        <is>
          <t>The highlight reel</t>
        </is>
      </c>
      <c r="C12" s="67" t="inlineStr">
        <is>
          <t>$3</t>
        </is>
      </c>
      <c r="D12" s="67" t="inlineStr">
        <is>
          <t>No</t>
        </is>
      </c>
      <c r="E12" s="123" t="inlineStr">
        <is>
          <t>The produced clip, scored and branded. No insurance component: pure margin, and every share is marketing.</t>
        </is>
      </c>
    </row>
    <row r="13">
      <c r="B13" s="67" t="inlineStr">
        <is>
          <t>The group pot</t>
        </is>
      </c>
      <c r="C13" s="67" t="inlineStr">
        <is>
          <t>$10 a head</t>
        </is>
      </c>
      <c r="D13" s="67" t="inlineStr">
        <is>
          <t>No</t>
        </is>
      </c>
      <c r="E13" s="123" t="inlineStr">
        <is>
          <t>A fourball buys in, closest to the pin takes the pot, Get Lucky takes a fee.</t>
        </is>
      </c>
    </row>
    <row r="15">
      <c r="B15" s="66" t="inlineStr">
        <is>
          <t>ATTACH ASSUMPTIONS</t>
        </is>
      </c>
      <c r="C15" s="66" t="inlineStr"/>
      <c r="D15" s="66" t="inlineStr"/>
      <c r="E15" s="66" t="inlineStr"/>
      <c r="F15" s="66" t="inlineStr"/>
      <c r="G15" s="66" t="inlineStr"/>
    </row>
    <row r="16">
      <c r="B16" s="67" t="inlineStr">
        <is>
          <t>Course &amp; app — attach rate</t>
        </is>
      </c>
      <c r="C16" s="71" t="n">
        <v>0.12</v>
      </c>
      <c r="I16" s="115" t="inlineStr">
        <is>
          <t>Share of subscriber rounds that buy at least one upsell. This golfer already pays ~R200 a swing.</t>
        </is>
      </c>
    </row>
    <row r="17">
      <c r="B17" s="67" t="inlineStr">
        <is>
          <t>Course &amp; app — average spend ($)</t>
        </is>
      </c>
      <c r="C17" s="116" t="n">
        <v>5</v>
      </c>
      <c r="I17" s="115" t="inlineStr">
        <is>
          <t>Blend across the menu on an attaching entry.</t>
        </is>
      </c>
    </row>
    <row r="18">
      <c r="B18" s="67" t="inlineStr">
        <is>
          <t>Simulator — attach rate</t>
        </is>
      </c>
      <c r="C18" s="71" t="n">
        <v>0.05</v>
      </c>
      <c r="I18" s="115" t="inlineStr">
        <is>
          <t>Lower: the base simulator entry is $1, so the ask has to be smaller.</t>
        </is>
      </c>
    </row>
    <row r="19">
      <c r="B19" s="67" t="inlineStr">
        <is>
          <t>Simulator — average spend ($)</t>
        </is>
      </c>
      <c r="C19" s="116" t="n">
        <v>2</v>
      </c>
      <c r="I19" s="115" t="inlineStr">
        <is>
          <t>Blend across the menu inside a simulator.</t>
        </is>
      </c>
    </row>
    <row r="20">
      <c r="B20" s="67" t="inlineStr">
        <is>
          <t>Get Lucky net share</t>
        </is>
      </c>
      <c r="C20" s="71" t="n">
        <v>0.55</v>
      </c>
      <c r="I20" s="115" t="inlineStr">
        <is>
          <t>After course or operator share and insurance. Higher than the 46% simulator entry share because part of the menu (highlight reel, group pot) carries no insurance.</t>
        </is>
      </c>
    </row>
    <row r="21">
      <c r="B21" s="67" t="inlineStr">
        <is>
          <t>EBITDA margin</t>
        </is>
      </c>
      <c r="C21" s="71" t="n">
        <v>0.65</v>
      </c>
      <c r="I21" s="115" t="inlineStr">
        <is>
          <t>Sold through the existing checkout: no hardware, no new venue cost.</t>
        </is>
      </c>
    </row>
    <row r="22">
      <c r="B22" s="67" t="inlineStr">
        <is>
          <t>Rounds per subscriber per month</t>
        </is>
      </c>
      <c r="C22" s="117">
        <f>Assumptions!$C$37</f>
        <v/>
      </c>
    </row>
    <row r="24">
      <c r="B24" s="66" t="inlineStr">
        <is>
          <t>VOLUME &amp; REVENUE</t>
        </is>
      </c>
      <c r="C24" s="66" t="inlineStr"/>
      <c r="D24" s="66" t="inlineStr"/>
      <c r="E24" s="66" t="inlineStr"/>
      <c r="F24" s="66" t="inlineStr"/>
      <c r="G24" s="66" t="inlineStr"/>
    </row>
    <row r="25">
      <c r="B25" s="75" t="inlineStr">
        <is>
          <t>Metric</t>
        </is>
      </c>
      <c r="E25" s="76" t="inlineStr">
        <is>
          <t>2026</t>
        </is>
      </c>
      <c r="F25" s="76" t="inlineStr">
        <is>
          <t>2029</t>
        </is>
      </c>
      <c r="G25" s="76" t="inlineStr">
        <is>
          <t>2032</t>
        </is>
      </c>
    </row>
    <row r="26">
      <c r="B26" s="67" t="inlineStr">
        <is>
          <t>Subscriber rounds (attempts/yr)</t>
        </is>
      </c>
      <c r="E26" s="78">
        <f>Valuation!C6*$C$22*12</f>
        <v/>
      </c>
      <c r="F26" s="78">
        <f>Valuation!D6*$C$22*12</f>
        <v/>
      </c>
      <c r="G26" s="78">
        <f>Valuation!E6*$C$22*12</f>
        <v/>
      </c>
    </row>
    <row r="27">
      <c r="B27" s="67" t="inlineStr">
        <is>
          <t>Simulator challenges</t>
        </is>
      </c>
      <c r="E27" s="117">
        <f>Simulator!C25</f>
        <v/>
      </c>
      <c r="F27" s="117">
        <f>Simulator!F25</f>
        <v/>
      </c>
      <c r="G27" s="117">
        <f>Simulator!G25</f>
        <v/>
      </c>
    </row>
    <row r="28">
      <c r="B28" s="67" t="inlineStr">
        <is>
          <t>Gross upsell revenue ($)</t>
        </is>
      </c>
      <c r="E28" s="79">
        <f>0</f>
        <v/>
      </c>
      <c r="F28" s="79">
        <f>F26*$C$16*$C$17+F27*$C$18*$C$19</f>
        <v/>
      </c>
      <c r="G28" s="79">
        <f>G26*$C$16*$C$17+G27*$C$18*$C$19</f>
        <v/>
      </c>
      <c r="I28" s="115" t="inlineStr">
        <is>
          <t>The menu ships with the app build in 2027, so 2026 is set to zero.</t>
        </is>
      </c>
    </row>
    <row r="29">
      <c r="B29" s="75" t="inlineStr">
        <is>
          <t>Revenue to Get Lucky ($)</t>
        </is>
      </c>
      <c r="E29" s="80">
        <f>E28*$C$20</f>
        <v/>
      </c>
      <c r="F29" s="80">
        <f>F28*$C$20</f>
        <v/>
      </c>
      <c r="G29" s="80">
        <f>G28*$C$20</f>
        <v/>
      </c>
      <c r="I29" s="115" t="inlineStr">
        <is>
          <t>This row feeds the Valuation tab (2026 = col E, 2029 = col F, 2032 = col G).</t>
        </is>
      </c>
    </row>
    <row r="30">
      <c r="B30" s="67" t="inlineStr">
        <is>
          <t>Memo — revenue to Get Lucky (ZAR)</t>
        </is>
      </c>
      <c r="E30" s="81">
        <f>E29*Assumptions!$C$11</f>
        <v/>
      </c>
      <c r="F30" s="81">
        <f>F29*Assumptions!$C$11</f>
        <v/>
      </c>
      <c r="G30" s="81">
        <f>G29*Assumptions!$C$11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41"/>
  <sheetViews>
    <sheetView showGridLines="0" zoomScaleNormal="100" workbookViewId="0">
      <selection activeCell="C6" sqref="C6"/>
    </sheetView>
  </sheetViews>
  <sheetFormatPr baseColWidth="10" defaultColWidth="8.6640625" defaultRowHeight="15"/>
  <cols>
    <col width="2" customWidth="1" min="1" max="1"/>
    <col width="40" customWidth="1" min="2" max="2"/>
    <col width="18" customWidth="1" min="3" max="5"/>
    <col width="3" customWidth="1" min="6" max="6"/>
    <col width="60" customWidth="1" min="7" max="7"/>
  </cols>
  <sheetData>
    <row r="2" ht="27.75" customHeight="1">
      <c r="B2" s="48" t="inlineStr">
        <is>
          <t>VALUATION BRIDGE</t>
        </is>
      </c>
    </row>
    <row r="3">
      <c r="B3" s="49" t="inlineStr">
        <is>
          <t>Annual roll-up of the monthly build, then the valuation walk to the pitch milestones.</t>
        </is>
      </c>
    </row>
    <row r="5" ht="19.5" customHeight="1">
      <c r="B5" s="84" t="inlineStr">
        <is>
          <t>Metric</t>
        </is>
      </c>
      <c r="C5" s="85" t="inlineStr">
        <is>
          <t>2026</t>
        </is>
      </c>
      <c r="D5" s="85" t="inlineStr">
        <is>
          <t>2029 (Yr3 plan)</t>
        </is>
      </c>
      <c r="E5" s="85" t="inlineStr">
        <is>
          <t>2032 (Exit vision)</t>
        </is>
      </c>
      <c r="F5" s="86" t="n"/>
      <c r="G5" s="86" t="n"/>
    </row>
    <row r="6">
      <c r="B6" s="67" t="inlineStr">
        <is>
          <t>Subscribers/ Entries</t>
        </is>
      </c>
      <c r="C6" s="87">
        <f>'Build (Monthly)'!C10</f>
        <v/>
      </c>
      <c r="D6" s="87">
        <f>'Build (Monthly)'!AL10</f>
        <v/>
      </c>
      <c r="E6" s="87">
        <f>'Build (Monthly)'!AL10*(1+Assumptions!$C$36)^48</f>
        <v/>
      </c>
      <c r="F6" s="86" t="n"/>
      <c r="G6" s="124" t="inlineStr">
        <is>
          <t>2032 extends the Yr3 exit ramp</t>
        </is>
      </c>
    </row>
    <row r="7">
      <c r="B7" s="67" t="inlineStr">
        <is>
          <t>Subscription ARR ($)</t>
        </is>
      </c>
      <c r="C7" s="88">
        <f>SUM('Build (Monthly)'!C11:N11)</f>
        <v/>
      </c>
      <c r="D7" s="88">
        <f>'Build (Monthly)'!AL11*12</f>
        <v/>
      </c>
      <c r="E7" s="88">
        <f>E6*Assumptions!$C$9*12</f>
        <v/>
      </c>
      <c r="F7" s="86" t="n"/>
      <c r="G7" s="124" t="inlineStr">
        <is>
          <t>Sum of MRR across months 1-12 (actual 2026 revenue)</t>
        </is>
      </c>
    </row>
    <row r="8">
      <c r="B8" s="67" t="inlineStr">
        <is>
          <t>Sponsorship revenue — South Africa ($)</t>
        </is>
      </c>
      <c r="C8" s="88">
        <f>SUM('Build (Monthly)'!C14:N14)</f>
        <v/>
      </c>
      <c r="D8" s="88">
        <f>'Build (Monthly)'!AL14*12</f>
        <v/>
      </c>
      <c r="E8" s="88">
        <f>Assumptions!$C$35*E6/$C$6</f>
        <v/>
      </c>
      <c r="F8" s="86" t="n"/>
      <c r="G8" s="124" t="inlineStr">
        <is>
          <t>The contracted Santam deal, off the monthly build</t>
        </is>
      </c>
    </row>
    <row r="9">
      <c r="B9" s="75" t="inlineStr">
        <is>
          <t>Courses &amp; app subscription ($)</t>
        </is>
      </c>
      <c r="C9" s="89">
        <f>C7+C8</f>
        <v/>
      </c>
      <c r="D9" s="89">
        <f>D7+D8</f>
        <v/>
      </c>
      <c r="E9" s="89">
        <f>E7+E8</f>
        <v/>
      </c>
      <c r="F9" s="86" t="n"/>
      <c r="G9" s="124" t="inlineStr">
        <is>
          <t>Installed courses, membership and the global app subscription, plus contracted South African sponsorship</t>
        </is>
      </c>
    </row>
    <row r="10">
      <c r="B10" s="67" t="inlineStr">
        <is>
          <t>Simulator revenue ($)</t>
        </is>
      </c>
      <c r="C10" s="90">
        <f>Simulator!C27</f>
        <v/>
      </c>
      <c r="D10" s="90">
        <f>Simulator!F27</f>
        <v/>
      </c>
      <c r="E10" s="90">
        <f>Simulator!G27</f>
        <v/>
      </c>
      <c r="F10" s="86" t="n"/>
      <c r="G10" s="124" t="inlineStr">
        <is>
          <t>From the Simulator tab. Revenue stream 4, live from 2027; integration funded by this round.</t>
        </is>
      </c>
    </row>
    <row r="11" ht="36" customHeight="1">
      <c r="B11" s="67" t="inlineStr">
        <is>
          <t>Territory sponsorship ($)</t>
        </is>
      </c>
      <c r="C11" s="90">
        <f>Sponsorship!E21</f>
        <v/>
      </c>
      <c r="D11" s="90">
        <f>Sponsorship!F21</f>
        <v/>
      </c>
      <c r="E11" s="90">
        <f>Sponsorship!G21</f>
        <v/>
      </c>
      <c r="F11" s="86" t="n"/>
      <c r="G11" s="124" t="inlineStr">
        <is>
          <t>From the Sponsorship tab. The signed Santam deal repeated with an anchor insurer partner per new market.</t>
        </is>
      </c>
    </row>
    <row r="12">
      <c r="B12" s="67" t="inlineStr">
        <is>
          <t>In-play upsells ($)</t>
        </is>
      </c>
      <c r="C12" s="118">
        <f>Upsells!E29</f>
        <v/>
      </c>
      <c r="D12" s="118">
        <f>Upsells!F29</f>
        <v/>
      </c>
      <c r="E12" s="118">
        <f>Upsells!G29</f>
        <v/>
      </c>
      <c r="F12" s="86" t="n"/>
      <c r="G12" s="124" t="inlineStr">
        <is>
          <t>From the Upsells tab. Attaches to attempts already counted above — never new volume.</t>
        </is>
      </c>
    </row>
    <row r="13" ht="18" customHeight="1">
      <c r="B13" s="119" t="inlineStr">
        <is>
          <t>Total annual revenue ($)</t>
        </is>
      </c>
      <c r="C13" s="80">
        <f>C9+C10+C11+C12</f>
        <v/>
      </c>
      <c r="D13" s="80">
        <f>D9+D10+D11+D12</f>
        <v/>
      </c>
      <c r="E13" s="80">
        <f>E9+E10+E11+E12</f>
        <v/>
      </c>
      <c r="F13" s="86" t="n"/>
      <c r="G13" s="124" t="inlineStr">
        <is>
          <t>Drives the valuation walk below.</t>
        </is>
      </c>
    </row>
    <row r="14" ht="24" customHeight="1">
      <c r="B14" s="67" t="inlineStr">
        <is>
          <t>Gross profit — courses &amp; app ($)</t>
        </is>
      </c>
      <c r="C14" s="88">
        <f>C9*Assumptions!$C$22</f>
        <v/>
      </c>
      <c r="D14" s="88">
        <f>D9*Assumptions!$C$22</f>
        <v/>
      </c>
      <c r="E14" s="88">
        <f>E9*Assumptions!$C$22</f>
        <v/>
      </c>
      <c r="F14" s="86" t="n"/>
      <c r="G14" s="106" t="n"/>
    </row>
    <row r="15">
      <c r="B15" s="67" t="inlineStr">
        <is>
          <t>EBITDA proxy — courses &amp; app ($)</t>
        </is>
      </c>
      <c r="C15" s="88">
        <f>C14-Assumptions!$C$26*12*(C6/$C$6)^Assumptions!$C$27-C9*Assumptions!$C$24</f>
        <v/>
      </c>
      <c r="D15" s="88">
        <f>D14-Assumptions!$C$26*12*(D6/$C$6)^Assumptions!$C$27-D9*Assumptions!$C$24</f>
        <v/>
      </c>
      <c r="E15" s="88">
        <f>E14-Assumptions!$C$26*12*(E6/$C$6)^Assumptions!$C$27-E9*Assumptions!$C$24</f>
        <v/>
      </c>
      <c r="F15" s="86" t="n"/>
      <c r="G15" s="124" t="inlineStr">
        <is>
          <t>GP less scaled opex less insurance premium. Prize payouts excluded — carried by the insurer.</t>
        </is>
      </c>
    </row>
    <row r="16" ht="24" customHeight="1">
      <c r="B16" s="67" t="inlineStr">
        <is>
          <t>EBITDA proxy — simulators ($)</t>
        </is>
      </c>
      <c r="C16" s="88">
        <f>C10*Simulator!$C$17</f>
        <v/>
      </c>
      <c r="D16" s="88">
        <f>D10*Simulator!$C$17</f>
        <v/>
      </c>
      <c r="E16" s="88">
        <f>E10*Simulator!$C$17</f>
        <v/>
      </c>
      <c r="F16" s="86" t="n"/>
      <c r="G16" s="92" t="n"/>
    </row>
    <row r="17">
      <c r="B17" s="67" t="inlineStr">
        <is>
          <t>EBITDA proxy — territory sponsorship ($)</t>
        </is>
      </c>
      <c r="C17" s="79">
        <f>C11*Sponsorship!$C$22</f>
        <v/>
      </c>
      <c r="D17" s="79">
        <f>D11*Sponsorship!$C$22</f>
        <v/>
      </c>
      <c r="E17" s="79">
        <f>E11*Sponsorship!$C$22</f>
        <v/>
      </c>
      <c r="F17" s="86" t="n"/>
      <c r="G17" s="92" t="n"/>
    </row>
    <row r="18">
      <c r="B18" s="107" t="inlineStr">
        <is>
          <t>EBITDA proxy — in-play upsells ($)</t>
        </is>
      </c>
      <c r="C18" s="125">
        <f>C12*Upsells!$C$21</f>
        <v/>
      </c>
      <c r="D18" s="125">
        <f>D12*Upsells!$C$21</f>
        <v/>
      </c>
      <c r="E18" s="125">
        <f>E12*Upsells!$C$21</f>
        <v/>
      </c>
      <c r="F18" s="95" t="n"/>
      <c r="G18" s="95" t="n"/>
    </row>
    <row r="19">
      <c r="B19" s="75" t="inlineStr">
        <is>
          <t>EBITDA proxy — total ($)</t>
        </is>
      </c>
      <c r="C19" s="80">
        <f>C15+C16+C17+C18</f>
        <v/>
      </c>
      <c r="D19" s="80">
        <f>D15+D16+D17+D18</f>
        <v/>
      </c>
      <c r="E19" s="80">
        <f>E15+E16+E17+E18</f>
        <v/>
      </c>
      <c r="F19" s="86" t="n"/>
      <c r="G19" s="106" t="n"/>
    </row>
    <row r="20">
      <c r="B20" s="107" t="inlineStr">
        <is>
          <t>EBITDA margin (% of total revenue)</t>
        </is>
      </c>
      <c r="C20" s="108">
        <f>IFERROR(C19/C13,0)</f>
        <v/>
      </c>
      <c r="D20" s="108">
        <f>IFERROR(D19/D13,0)</f>
        <v/>
      </c>
      <c r="E20" s="108">
        <f>IFERROR(E19/E13,0)</f>
        <v/>
      </c>
      <c r="F20" s="95" t="n"/>
      <c r="G20" s="95" t="n"/>
    </row>
    <row r="21">
      <c r="B21" s="86" t="n"/>
      <c r="C21" s="121" t="n"/>
      <c r="D21" s="121" t="n"/>
      <c r="E21" s="121" t="n"/>
      <c r="F21" s="86" t="n"/>
      <c r="G21" s="106" t="n"/>
    </row>
    <row r="22">
      <c r="B22" s="66" t="inlineStr">
        <is>
          <t>VALUATION WALK</t>
        </is>
      </c>
      <c r="C22" s="110" t="inlineStr"/>
      <c r="D22" s="110" t="inlineStr"/>
      <c r="E22" s="110" t="inlineStr"/>
      <c r="F22" s="66" t="inlineStr"/>
      <c r="G22" s="66" t="inlineStr"/>
    </row>
    <row r="23" ht="13" customFormat="1" customHeight="1" s="35">
      <c r="B23" s="67" t="inlineStr">
        <is>
          <t>Implied revenue multiple</t>
        </is>
      </c>
      <c r="C23" s="83">
        <f>Assumptions!$C$8/C13</f>
        <v/>
      </c>
      <c r="D23" s="83">
        <f>Assumptions!$C$30</f>
        <v/>
      </c>
      <c r="E23" s="83">
        <f>Assumptions!$C$31</f>
        <v/>
      </c>
      <c r="F23" s="86" t="n"/>
      <c r="G23" s="124" t="inlineStr">
        <is>
          <t>Today solved to the post-money floor; out-years from Assumptions.</t>
        </is>
      </c>
    </row>
    <row r="24" ht="13" customFormat="1" customHeight="1" s="35">
      <c r="B24" s="67" t="inlineStr">
        <is>
          <t>Valuation milestone — pitch ($)</t>
        </is>
      </c>
      <c r="C24" s="79">
        <f>Assumptions!$C$8</f>
        <v/>
      </c>
      <c r="D24" s="79">
        <f>Assumptions!$C$32</f>
        <v/>
      </c>
      <c r="E24" s="79">
        <f>Assumptions!$C$33</f>
        <v/>
      </c>
      <c r="F24" s="86" t="n"/>
      <c r="G24" s="124" t="inlineStr">
        <is>
          <t>Headline figures from the pitch: R53.3m / R147m / R807m.</t>
        </is>
      </c>
    </row>
    <row r="25" ht="13" customFormat="1" customHeight="1" s="35">
      <c r="B25" s="67" t="inlineStr">
        <is>
          <t>Valuation — model-implied ($)</t>
        </is>
      </c>
      <c r="C25" s="79">
        <f>C13*C23</f>
        <v/>
      </c>
      <c r="D25" s="79">
        <f>D13*D23</f>
        <v/>
      </c>
      <c r="E25" s="79">
        <f>E13*E23</f>
        <v/>
      </c>
      <c r="F25" s="86" t="n"/>
      <c r="G25" s="124" t="inlineStr">
        <is>
          <t>Sanity check: does the ramp x multiple reach the milestone?</t>
        </is>
      </c>
    </row>
    <row r="26" ht="14" customFormat="1" customHeight="1" s="46">
      <c r="B26" s="86" t="n"/>
      <c r="C26" s="111" t="n"/>
      <c r="D26" s="111" t="n"/>
      <c r="E26" s="111" t="n"/>
      <c r="F26" s="86" t="n"/>
      <c r="G26" s="86" t="n"/>
    </row>
    <row r="27">
      <c r="B27" s="107" t="inlineStr">
        <is>
          <t>Memo — model valuation in ZAR</t>
        </is>
      </c>
      <c r="C27" s="112">
        <f>C25*Assumptions!$C$11</f>
        <v/>
      </c>
      <c r="D27" s="112">
        <f>D25*Assumptions!$C$11</f>
        <v/>
      </c>
      <c r="E27" s="112">
        <f>E25*Assumptions!$C$11</f>
        <v/>
      </c>
      <c r="F27" s="95" t="n"/>
      <c r="G27" s="106" t="n"/>
    </row>
    <row r="28">
      <c r="B28" s="67" t="inlineStr">
        <is>
          <t>Memo — pitch milestone in ZAR</t>
        </is>
      </c>
      <c r="C28" s="122">
        <f>C24*Assumptions!$C$11</f>
        <v/>
      </c>
      <c r="D28" s="81">
        <f>D24*Assumptions!$C$11</f>
        <v/>
      </c>
      <c r="E28" s="81">
        <f>E24*Assumptions!$C$11</f>
        <v/>
      </c>
      <c r="F28" s="86" t="n"/>
      <c r="G28" s="86" t="n"/>
    </row>
    <row r="29">
      <c r="B29" s="107" t="inlineStr">
        <is>
          <t>Memo — revenue by stream in ZAR</t>
        </is>
      </c>
      <c r="C29" s="112">
        <f>C13*Assumptions!$C$11</f>
        <v/>
      </c>
      <c r="D29" s="112">
        <f>D13*Assumptions!$C$11</f>
        <v/>
      </c>
      <c r="E29" s="112">
        <f>E13*Assumptions!$C$11</f>
        <v/>
      </c>
      <c r="F29" s="95" t="n"/>
      <c r="G29" s="124" t="inlineStr">
        <is>
          <t>Total revenue in rand. Stream split is rows 9-12 above.</t>
        </is>
      </c>
    </row>
    <row r="30">
      <c r="B30" s="86" t="n"/>
      <c r="C30" s="113" t="n"/>
      <c r="D30" s="86" t="n"/>
      <c r="E30" s="86" t="n"/>
      <c r="F30" s="86" t="n"/>
      <c r="G30" s="86" t="n"/>
    </row>
    <row r="31">
      <c r="B31" s="66" t="inlineStr">
        <is>
          <t>WHY 6x REVENUE AT EXIT (2032)</t>
        </is>
      </c>
      <c r="C31" s="66" t="inlineStr"/>
      <c r="D31" s="66" t="inlineStr"/>
      <c r="E31" s="66" t="inlineStr"/>
      <c r="F31" s="66" t="inlineStr"/>
      <c r="G31" s="66" t="inlineStr"/>
    </row>
    <row r="32">
      <c r="B32" s="67" t="inlineStr">
        <is>
          <t>Engaged subscriber database</t>
        </is>
      </c>
      <c r="C32" s="126" t="inlineStr">
        <is>
          <t>Recurring golfers opted into a high-intent niche product are the core asset — a clean, targetable distribution channel for golf brands, media partners and sponsors. The valuation reflects the database itself, not just the topline.</t>
        </is>
      </c>
      <c r="D32" s="86" t="n"/>
      <c r="E32" s="86" t="n"/>
      <c r="F32" s="86" t="n"/>
      <c r="G32" s="86" t="n"/>
    </row>
    <row r="33">
      <c r="B33" s="67" t="inlineStr">
        <is>
          <t>Four rungs plus an upsell menu</t>
        </is>
      </c>
      <c r="C33" s="126" t="inlineStr">
        <is>
          <t>Installed courses, membership, the global app subscription and simulators sell the same insured challenge through four channels, with sponsorship attached to each territory. Diversified revenue on one cost base.</t>
        </is>
      </c>
      <c r="D33" s="86" t="n"/>
      <c r="E33" s="86" t="n"/>
      <c r="F33" s="86" t="n"/>
      <c r="G33" s="86" t="n"/>
    </row>
    <row r="34">
      <c r="B34" s="67" t="inlineStr">
        <is>
          <t>Strategic partner optionality</t>
        </is>
      </c>
      <c r="C34" s="126" t="inlineStr">
        <is>
          <t>At scale the platform unlocks multiple exit paths: license access to a golf brand, co-brand prize pools with a tour or media rights holder, integrate with a sportsbook, or sell outright to a sports-tech acquirer.</t>
        </is>
      </c>
      <c r="D34" s="86" t="n"/>
      <c r="E34" s="86" t="n"/>
      <c r="F34" s="86" t="n"/>
      <c r="G34" s="86" t="n"/>
    </row>
    <row r="35">
      <c r="B35" s="67" t="inlineStr">
        <is>
          <t>Comparable engaged communities</t>
        </is>
      </c>
      <c r="C35" s="126" t="inlineStr">
        <is>
          <t>Engaged-community subscription businesses (Strava, Peloton, Whoop) have transacted in the 5-10x revenue range at similar scale. 6x sits mid-band.</t>
        </is>
      </c>
      <c r="D35" s="86" t="n"/>
      <c r="E35" s="86" t="n"/>
      <c r="F35" s="86" t="n"/>
      <c r="G35" s="86" t="n"/>
    </row>
    <row r="36">
      <c r="B36" s="67" t="inlineStr">
        <is>
          <t>Risk to the multiple</t>
        </is>
      </c>
      <c r="C36" s="126" t="inlineStr">
        <is>
          <t>If growth stalls the multiple compresses toward pure SaaS (3-4x), landing 2032 at R404-538m rather than R807m.</t>
        </is>
      </c>
      <c r="D36" s="86" t="n"/>
      <c r="E36" s="86" t="n"/>
      <c r="F36" s="86" t="n"/>
      <c r="G36" s="86" t="n"/>
    </row>
    <row r="37">
      <c r="B37" s="67" t="inlineStr">
        <is>
          <t>Risk to the simulator stream</t>
        </is>
      </c>
      <c r="C37" s="126" t="inlineStr">
        <is>
          <t>Simulator revenue depends on concluding operator agreements, which are not yet signed as at August 2026. Ernie Els holds direct relationships with the target operators; the integration this round funds is what makes Get Lucky ready to sign. Set the attach rate to zero on the Simulator tab to model the group without the stream.</t>
        </is>
      </c>
      <c r="D37" s="86" t="n"/>
      <c r="E37" s="86" t="n"/>
      <c r="F37" s="86" t="n"/>
      <c r="G37" s="86" t="n"/>
    </row>
    <row r="38">
      <c r="B38" s="67" t="inlineStr">
        <is>
          <t>Risk to territory sponsorship</t>
        </is>
      </c>
      <c r="C38" s="126" t="inlineStr">
        <is>
          <t>South African sponsorship is contracted. New-territory anchor partners are appointed as each market opens and are not yet in place. Per-territory figures are live inputs on the Sponsorship tab.</t>
        </is>
      </c>
      <c r="D38" s="86" t="n"/>
      <c r="E38" s="86" t="n"/>
      <c r="F38" s="86" t="n"/>
      <c r="G38" s="86" t="n"/>
    </row>
    <row r="39">
      <c r="B39" s="67" t="inlineStr">
        <is>
          <t>Risk to upsell attach</t>
        </is>
      </c>
      <c r="C39" s="126" t="inlineStr">
        <is>
          <t>Attach rates are modelled, not observed — the menu ships in 2027. They are set against the price point of the underlying entry (12% at $5 on course and app, 5% at $2 in simulators) and are live inputs on the Upsells tab.</t>
        </is>
      </c>
      <c r="D39" s="86" t="n"/>
      <c r="E39" s="86" t="n"/>
      <c r="F39" s="86" t="n"/>
      <c r="G39" s="86" t="n"/>
    </row>
    <row r="40">
      <c r="B40" s="86" t="n"/>
      <c r="C40" s="86" t="n"/>
      <c r="D40" s="86" t="n"/>
      <c r="E40" s="86" t="n"/>
      <c r="F40" s="86" t="n"/>
      <c r="G40" s="86" t="n"/>
    </row>
    <row r="41">
      <c r="B41" s="86" t="n"/>
      <c r="C41" s="86" t="n"/>
      <c r="D41" s="86" t="n"/>
      <c r="E41" s="86" t="n"/>
      <c r="F41" s="86" t="n"/>
      <c r="G41" s="86" t="n"/>
    </row>
  </sheetData>
  <mergeCells count="2">
    <mergeCell ref="B3:G3"/>
    <mergeCell ref="B2:E2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3"/>
  <sheetViews>
    <sheetView showGridLines="0" zoomScaleNormal="100" workbookViewId="0">
      <selection activeCell="E6" sqref="E6"/>
    </sheetView>
  </sheetViews>
  <sheetFormatPr baseColWidth="10" defaultColWidth="8.6640625" defaultRowHeight="15"/>
  <cols>
    <col width="2" customWidth="1" min="1" max="1"/>
    <col width="42" customWidth="1" min="2" max="2"/>
    <col width="20" customWidth="1" min="3" max="5"/>
    <col width="36" customWidth="1" min="6" max="6"/>
  </cols>
  <sheetData>
    <row r="2" ht="30" customHeight="1">
      <c r="B2" s="48" t="inlineStr">
        <is>
          <t>INVESTOR'S 15%</t>
        </is>
      </c>
    </row>
    <row r="3">
      <c r="B3" s="49" t="inlineStr">
        <is>
          <t>R8m cash in for 15%. Here's what that stake rides to.</t>
        </is>
      </c>
    </row>
    <row r="5" ht="19.5" customHeight="1">
      <c r="B5" s="17" t="n"/>
      <c r="C5" s="18" t="inlineStr">
        <is>
          <t>Today</t>
        </is>
      </c>
      <c r="D5" s="18" t="inlineStr">
        <is>
          <t>2029 (3-yr plan)</t>
        </is>
      </c>
      <c r="E5" s="18" t="inlineStr">
        <is>
          <t>2032 (Exit vision)</t>
        </is>
      </c>
    </row>
    <row r="6">
      <c r="B6" s="54" t="inlineStr">
        <is>
          <t>Company valuation ($)</t>
        </is>
      </c>
      <c r="C6" s="44">
        <f>Valuation!C24</f>
        <v/>
      </c>
      <c r="D6" s="44">
        <f>Valuation!D24</f>
        <v/>
      </c>
      <c r="E6" s="44">
        <f>Valuation!E24</f>
        <v/>
      </c>
      <c r="F6" s="20" t="inlineStr">
        <is>
          <t>From Valuation tab (pitch milestones)</t>
        </is>
      </c>
    </row>
    <row r="7">
      <c r="B7" s="54" t="inlineStr">
        <is>
          <t>Investor stake %</t>
        </is>
      </c>
      <c r="C7" s="32">
        <f>Assumptions!$C$6</f>
        <v/>
      </c>
      <c r="D7" s="32">
        <f>Assumptions!$C$6</f>
        <v/>
      </c>
      <c r="E7" s="32">
        <f>Assumptions!$C$6</f>
        <v/>
      </c>
      <c r="F7" s="20" t="inlineStr">
        <is>
          <t>R8m buys 15% of the company</t>
        </is>
      </c>
    </row>
    <row r="8">
      <c r="B8" s="13" t="inlineStr">
        <is>
          <t>Investor equity value ($)</t>
        </is>
      </c>
      <c r="C8" s="60">
        <f>C6*C7</f>
        <v/>
      </c>
      <c r="D8" s="60">
        <f>D6*D7</f>
        <v/>
      </c>
      <c r="E8" s="60">
        <f>E6*E7</f>
        <v/>
      </c>
      <c r="F8" s="20" t="inlineStr">
        <is>
          <t>What the 15% is worth at each milestone</t>
        </is>
      </c>
    </row>
    <row r="9">
      <c r="B9" s="54" t="inlineStr">
        <is>
          <t>Entry investment — R4m ($)</t>
        </is>
      </c>
      <c r="C9" s="59">
        <f>Assumptions!$C$7/Assumptions!$C$11</f>
        <v/>
      </c>
      <c r="D9" s="59">
        <f>Assumptions!$C$7/Assumptions!$C$11</f>
        <v/>
      </c>
      <c r="E9" s="59">
        <f>Assumptions!$C$7/Assumptions!$C$11</f>
        <v/>
      </c>
      <c r="F9" s="61" t="inlineStr">
        <is>
          <t>R8m converted at the FX assumption</t>
        </is>
      </c>
    </row>
    <row r="10">
      <c r="B10" s="54" t="inlineStr">
        <is>
          <t>Value created vs cash invested ($)</t>
        </is>
      </c>
      <c r="C10" s="58">
        <f>C8-C$9</f>
        <v/>
      </c>
      <c r="D10" s="58">
        <f>D8-D$9</f>
        <v/>
      </c>
      <c r="E10" s="58">
        <f>E8-E$9</f>
        <v/>
      </c>
      <c r="F10" s="20" t="inlineStr">
        <is>
          <t>Upside over the R8m invested</t>
        </is>
      </c>
    </row>
    <row r="11" ht="24" customHeight="1">
      <c r="B11" s="13" t="inlineStr">
        <is>
          <t>Multiple on invested capital (MOIC)</t>
        </is>
      </c>
      <c r="C11" s="21">
        <f>C8/C$9</f>
        <v/>
      </c>
      <c r="D11" s="21">
        <f>D8/D$9</f>
        <v/>
      </c>
      <c r="E11" s="21">
        <f>E8/E$9</f>
        <v/>
      </c>
      <c r="F11" s="20" t="inlineStr">
        <is>
          <t>MOIC on entry. CAGR: ~34% to 2029 (3 yrs)</t>
        </is>
      </c>
    </row>
    <row r="12">
      <c r="B12" s="25" t="inlineStr">
        <is>
          <t>Memo — investor stake in ZAR</t>
        </is>
      </c>
      <c r="C12" s="97">
        <f>C8*Assumptions!$C$11</f>
        <v/>
      </c>
      <c r="D12" s="97">
        <f>D8*Assumptions!$C$11</f>
        <v/>
      </c>
      <c r="E12" s="97">
        <f>E8*Assumptions!$C$11</f>
        <v/>
      </c>
    </row>
    <row r="13" ht="45.75" customHeight="1">
      <c r="B13" s="53" t="inlineStr">
        <is>
          <t>Figures reflect the company's stated valuation milestones for the R8m / 15% round and the 3-year plan. They illustrate the trajectory a 15% holding bought for R8m moves with — not a guarantee of return. The 2029 and 2032 milestones include the simulator channel, which is modelled but NOT CONTRACTED; the Simulator tab shows the outcome at a 0% attach rate.</t>
        </is>
      </c>
    </row>
  </sheetData>
  <mergeCells count="3">
    <mergeCell ref="B13:F13"/>
    <mergeCell ref="B2:E2"/>
    <mergeCell ref="B3:F3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2026-06-25T13:44:26Z</dcterms:created>
  <dcterms:modified xsi:type="dcterms:W3CDTF">2026-08-04T14:26:18Z</dcterms:modified>
  <cp:lastModifiedBy>Johannes Le Roux</cp:lastModifiedBy>
  <cp:revision>0</cp:revision>
</cp:coreProperties>
</file>