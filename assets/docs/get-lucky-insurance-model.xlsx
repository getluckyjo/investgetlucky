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johannesleroux/Desktop/Get Lucky Golf Club/Ernie Deal/"/>
    </mc:Choice>
  </mc:AlternateContent>
  <xr:revisionPtr revIDLastSave="0" documentId="13_ncr:1_{C2EC3805-2344-DF4E-9AE3-0399401684B7}" xr6:coauthVersionLast="47" xr6:coauthVersionMax="47" xr10:uidLastSave="{00000000-0000-0000-0000-000000000000}"/>
  <bookViews>
    <workbookView xWindow="2040" yWindow="1800" windowWidth="23420" windowHeight="16460" tabRatio="500" activeTab="3" xr2:uid="{00000000-000D-0000-FFFF-FFFF00000000}"/>
  </bookViews>
  <sheets>
    <sheet name="Read Me" sheetId="1" r:id="rId1"/>
    <sheet name="Assumptions" sheetId="2" r:id="rId2"/>
    <sheet name="Build (Monthly)" sheetId="3" r:id="rId3"/>
    <sheet name="Insurance ROI" sheetId="6"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70" i="6" l="1"/>
  <c r="D69" i="6"/>
  <c r="D68" i="6"/>
  <c r="D67" i="6"/>
  <c r="C63" i="6"/>
  <c r="C62" i="6"/>
  <c r="AP11" i="3" a="1"/>
  <c r="AP11" i="3" s="1"/>
  <c r="AO11" i="3" a="1"/>
  <c r="AO11" i="3" s="1"/>
  <c r="AN12" i="3" a="1"/>
  <c r="AN12" i="3" s="1"/>
  <c r="AN11" i="3" a="1"/>
  <c r="AN11" i="3" s="1"/>
  <c r="C13" i="3"/>
  <c r="D11" i="3"/>
  <c r="C11" i="3"/>
  <c r="C10" i="3"/>
  <c r="C14" i="3"/>
  <c r="D12" i="3" s="1"/>
  <c r="C20" i="2"/>
  <c r="AL42" i="3"/>
  <c r="AK42" i="3"/>
  <c r="AJ42" i="3"/>
  <c r="AI42" i="3"/>
  <c r="AH42" i="3"/>
  <c r="AG42" i="3"/>
  <c r="AF42" i="3"/>
  <c r="AE42" i="3"/>
  <c r="AD42" i="3"/>
  <c r="AC42" i="3"/>
  <c r="AB42" i="3"/>
  <c r="AA42" i="3"/>
  <c r="Z42" i="3"/>
  <c r="Y42" i="3"/>
  <c r="X42" i="3"/>
  <c r="W42" i="3"/>
  <c r="V42" i="3"/>
  <c r="U42" i="3"/>
  <c r="T42" i="3"/>
  <c r="S42" i="3"/>
  <c r="R42" i="3"/>
  <c r="Q42" i="3"/>
  <c r="P42" i="3"/>
  <c r="O42" i="3"/>
  <c r="N42" i="3"/>
  <c r="M42" i="3"/>
  <c r="L42" i="3"/>
  <c r="K42" i="3"/>
  <c r="J42" i="3"/>
  <c r="I42" i="3"/>
  <c r="H42" i="3"/>
  <c r="G42" i="3"/>
  <c r="F42" i="3"/>
  <c r="E42" i="3"/>
  <c r="D42" i="3"/>
  <c r="C42" i="3"/>
  <c r="C40" i="6"/>
  <c r="C28" i="1" s="1"/>
  <c r="D28" i="1" s="1"/>
  <c r="E22" i="6"/>
  <c r="D22" i="6"/>
  <c r="C22" i="6"/>
  <c r="B22" i="6"/>
  <c r="E21" i="6"/>
  <c r="D21" i="6"/>
  <c r="C21" i="6"/>
  <c r="B21" i="6"/>
  <c r="E20" i="6"/>
  <c r="D20" i="6"/>
  <c r="C20" i="6"/>
  <c r="B20" i="6"/>
  <c r="E19" i="6"/>
  <c r="D19" i="6"/>
  <c r="C19" i="6"/>
  <c r="B19" i="6"/>
  <c r="G18" i="6"/>
  <c r="E18" i="6"/>
  <c r="D18" i="6"/>
  <c r="C18" i="6"/>
  <c r="B18" i="6"/>
  <c r="D5" i="3"/>
  <c r="D6" i="3" s="1"/>
  <c r="D7" i="3" s="1"/>
  <c r="AN10" i="3" a="1"/>
  <c r="AN10" i="3" s="1"/>
  <c r="C6" i="3"/>
  <c r="C7" i="3" s="1"/>
  <c r="E40" i="2"/>
  <c r="E23" i="6" s="1"/>
  <c r="D40" i="2"/>
  <c r="D23" i="6" s="1"/>
  <c r="C40" i="2"/>
  <c r="C23" i="6" s="1"/>
  <c r="G39" i="2"/>
  <c r="F22" i="6" s="1"/>
  <c r="F39" i="2"/>
  <c r="G38" i="2"/>
  <c r="F21" i="6" s="1"/>
  <c r="F38" i="2"/>
  <c r="G37" i="2"/>
  <c r="F37" i="2"/>
  <c r="G36" i="2"/>
  <c r="F19" i="6" s="1"/>
  <c r="F36" i="2"/>
  <c r="G19" i="6" s="1"/>
  <c r="G35" i="2"/>
  <c r="F18" i="6" s="1"/>
  <c r="F35" i="2"/>
  <c r="C31" i="2"/>
  <c r="C25" i="2"/>
  <c r="C27" i="2" s="1"/>
  <c r="D10" i="3" l="1"/>
  <c r="D13" i="3"/>
  <c r="D14" i="3"/>
  <c r="E12" i="3" s="1"/>
  <c r="E5" i="3"/>
  <c r="AP42" i="3"/>
  <c r="AN42" i="3"/>
  <c r="H35" i="2"/>
  <c r="AO42" i="3"/>
  <c r="H38" i="2"/>
  <c r="G40" i="2"/>
  <c r="F23" i="6" s="1"/>
  <c r="H18" i="6"/>
  <c r="C41" i="2"/>
  <c r="H39" i="2"/>
  <c r="C15" i="3"/>
  <c r="H19" i="6"/>
  <c r="H36" i="2"/>
  <c r="F40" i="2"/>
  <c r="G21" i="6"/>
  <c r="H21" i="6" s="1"/>
  <c r="F20" i="6"/>
  <c r="H37" i="2"/>
  <c r="G22" i="6"/>
  <c r="H22" i="6" s="1"/>
  <c r="G20" i="6"/>
  <c r="E6" i="3" l="1"/>
  <c r="E14" i="3"/>
  <c r="F12" i="3" s="1"/>
  <c r="G12" i="3" s="1"/>
  <c r="C16" i="3"/>
  <c r="C17" i="3" s="1"/>
  <c r="F5" i="3"/>
  <c r="F14" i="3" s="1"/>
  <c r="H20" i="6"/>
  <c r="G23" i="6"/>
  <c r="H23" i="6" s="1"/>
  <c r="H40" i="2"/>
  <c r="F6" i="3"/>
  <c r="F7" i="3" s="1"/>
  <c r="G5" i="3" l="1"/>
  <c r="G14" i="3" s="1"/>
  <c r="H12" i="3" s="1"/>
  <c r="I12" i="3" s="1"/>
  <c r="E7" i="3"/>
  <c r="C20" i="3"/>
  <c r="D15" i="3"/>
  <c r="E11" i="3"/>
  <c r="E13" i="3" s="1"/>
  <c r="H5" i="3"/>
  <c r="H14" i="3" s="1"/>
  <c r="G6" i="3"/>
  <c r="G7" i="3" s="1"/>
  <c r="E10" i="3" l="1"/>
  <c r="D16" i="3"/>
  <c r="C21" i="3"/>
  <c r="C39" i="3" s="1"/>
  <c r="I5" i="3"/>
  <c r="I14" i="3" s="1"/>
  <c r="J12" i="3" s="1"/>
  <c r="H6" i="3"/>
  <c r="H7" i="3" s="1"/>
  <c r="C23" i="3" l="1"/>
  <c r="C26" i="3"/>
  <c r="C22" i="3"/>
  <c r="C25" i="3"/>
  <c r="C24" i="3"/>
  <c r="D17" i="3"/>
  <c r="J5" i="3"/>
  <c r="J14" i="3" s="1"/>
  <c r="K12" i="3" s="1"/>
  <c r="I6" i="3"/>
  <c r="I7" i="3" s="1"/>
  <c r="C40" i="3" l="1"/>
  <c r="E15" i="3"/>
  <c r="D20" i="3"/>
  <c r="C31" i="3"/>
  <c r="C32" i="3"/>
  <c r="C29" i="3"/>
  <c r="C33" i="3"/>
  <c r="C30" i="3"/>
  <c r="J6" i="3"/>
  <c r="J7" i="3" s="1"/>
  <c r="K5" i="3"/>
  <c r="K14" i="3" s="1"/>
  <c r="L12" i="3" s="1"/>
  <c r="E16" i="3" l="1"/>
  <c r="E17" i="3" s="1"/>
  <c r="E20" i="3" s="1"/>
  <c r="E21" i="3" s="1"/>
  <c r="E39" i="3" s="1"/>
  <c r="F11" i="3"/>
  <c r="F13" i="3" s="1"/>
  <c r="C34" i="3"/>
  <c r="C37" i="3" s="1"/>
  <c r="D21" i="3"/>
  <c r="D39" i="3" s="1"/>
  <c r="E23" i="3"/>
  <c r="E30" i="3" s="1"/>
  <c r="E22" i="3"/>
  <c r="E26" i="3"/>
  <c r="E33" i="3" s="1"/>
  <c r="E24" i="3"/>
  <c r="E31" i="3" s="1"/>
  <c r="E25" i="3"/>
  <c r="E32" i="3" s="1"/>
  <c r="L5" i="3"/>
  <c r="L14" i="3" s="1"/>
  <c r="M12" i="3" s="1"/>
  <c r="K6" i="3"/>
  <c r="K7" i="3" s="1"/>
  <c r="F10" i="3" l="1"/>
  <c r="C38" i="3"/>
  <c r="C41" i="3" s="1"/>
  <c r="E40" i="3"/>
  <c r="E29" i="3"/>
  <c r="E34" i="3" s="1"/>
  <c r="E37" i="3" s="1"/>
  <c r="D23" i="3"/>
  <c r="D26" i="3"/>
  <c r="D25" i="3"/>
  <c r="D22" i="3"/>
  <c r="D24" i="3"/>
  <c r="F15" i="3"/>
  <c r="G11" i="3"/>
  <c r="G13" i="3" s="1"/>
  <c r="M5" i="3"/>
  <c r="M14" i="3" s="1"/>
  <c r="N12" i="3" s="1"/>
  <c r="L6" i="3"/>
  <c r="L7" i="3" s="1"/>
  <c r="G10" i="3" l="1"/>
  <c r="F16" i="3"/>
  <c r="D40" i="3"/>
  <c r="E38" i="3"/>
  <c r="E41" i="3" s="1"/>
  <c r="D32" i="3"/>
  <c r="D29" i="3"/>
  <c r="D33" i="3"/>
  <c r="D30" i="3"/>
  <c r="D31" i="3"/>
  <c r="N5" i="3"/>
  <c r="N14" i="3" s="1"/>
  <c r="O12" i="3" s="1"/>
  <c r="M6" i="3"/>
  <c r="M7" i="3" s="1"/>
  <c r="AO12" i="3" l="1" a="1"/>
  <c r="AO12" i="3" s="1"/>
  <c r="D34" i="3"/>
  <c r="D37" i="3" s="1"/>
  <c r="F17" i="3"/>
  <c r="N6" i="3"/>
  <c r="N7" i="3" s="1"/>
  <c r="O5" i="3"/>
  <c r="O14" i="3" s="1"/>
  <c r="P12" i="3" s="1"/>
  <c r="D38" i="3" l="1"/>
  <c r="F20" i="3"/>
  <c r="G15" i="3"/>
  <c r="H11" i="3"/>
  <c r="H13" i="3" s="1"/>
  <c r="O6" i="3"/>
  <c r="O7" i="3" s="1"/>
  <c r="P5" i="3"/>
  <c r="P14" i="3" s="1"/>
  <c r="Q12" i="3" s="1"/>
  <c r="H10" i="3" l="1"/>
  <c r="G16" i="3"/>
  <c r="G17" i="3" s="1"/>
  <c r="G20" i="3" s="1"/>
  <c r="G21" i="3" s="1"/>
  <c r="D41" i="3"/>
  <c r="F21" i="3"/>
  <c r="F39" i="3" s="1"/>
  <c r="P6" i="3"/>
  <c r="P7" i="3" s="1"/>
  <c r="Q5" i="3"/>
  <c r="Q14" i="3" s="1"/>
  <c r="R12" i="3" s="1"/>
  <c r="G39" i="3" l="1"/>
  <c r="G22" i="3"/>
  <c r="G23" i="3"/>
  <c r="G30" i="3" s="1"/>
  <c r="G24" i="3"/>
  <c r="G31" i="3" s="1"/>
  <c r="G25" i="3"/>
  <c r="G32" i="3" s="1"/>
  <c r="G26" i="3"/>
  <c r="G33" i="3" s="1"/>
  <c r="G40" i="3"/>
  <c r="F26" i="3"/>
  <c r="F23" i="3"/>
  <c r="F25" i="3"/>
  <c r="F22" i="3"/>
  <c r="F24" i="3"/>
  <c r="G29" i="3"/>
  <c r="I11" i="3"/>
  <c r="I13" i="3" s="1"/>
  <c r="H15" i="3"/>
  <c r="H16" i="3" s="1"/>
  <c r="R5" i="3"/>
  <c r="R14" i="3" s="1"/>
  <c r="S12" i="3" s="1"/>
  <c r="Q6" i="3"/>
  <c r="Q7" i="3" s="1"/>
  <c r="I10" i="3" l="1"/>
  <c r="G34" i="3"/>
  <c r="G37" i="3" s="1"/>
  <c r="G38" i="3" s="1"/>
  <c r="G41" i="3" s="1"/>
  <c r="F40" i="3"/>
  <c r="H17" i="3"/>
  <c r="H20" i="3" s="1"/>
  <c r="F31" i="3"/>
  <c r="F30" i="3"/>
  <c r="F32" i="3"/>
  <c r="F33" i="3"/>
  <c r="F29" i="3"/>
  <c r="S5" i="3"/>
  <c r="S14" i="3" s="1"/>
  <c r="T12" i="3" s="1"/>
  <c r="R6" i="3"/>
  <c r="R7" i="3" s="1"/>
  <c r="F34" i="3" l="1"/>
  <c r="F37" i="3" s="1"/>
  <c r="H21" i="3"/>
  <c r="H39" i="3" s="1"/>
  <c r="T5" i="3"/>
  <c r="T14" i="3" s="1"/>
  <c r="U12" i="3" s="1"/>
  <c r="S6" i="3"/>
  <c r="S7" i="3" s="1"/>
  <c r="I15" i="3" l="1"/>
  <c r="F38" i="3"/>
  <c r="F41" i="3" s="1"/>
  <c r="H26" i="3"/>
  <c r="H23" i="3"/>
  <c r="H25" i="3"/>
  <c r="H22" i="3"/>
  <c r="H24" i="3"/>
  <c r="T6" i="3"/>
  <c r="T7" i="3" s="1"/>
  <c r="U5" i="3"/>
  <c r="U14" i="3" s="1"/>
  <c r="V12" i="3" s="1"/>
  <c r="I16" i="3" l="1"/>
  <c r="J11" i="3"/>
  <c r="J13" i="3" s="1"/>
  <c r="I17" i="3"/>
  <c r="I20" i="3" s="1"/>
  <c r="I21" i="3" s="1"/>
  <c r="H40" i="3"/>
  <c r="H31" i="3"/>
  <c r="H29" i="3"/>
  <c r="H32" i="3"/>
  <c r="H30" i="3"/>
  <c r="H33" i="3"/>
  <c r="U6" i="3"/>
  <c r="U7" i="3" s="1"/>
  <c r="V5" i="3"/>
  <c r="V14" i="3" s="1"/>
  <c r="W12" i="3" s="1"/>
  <c r="J10" i="3" l="1"/>
  <c r="J15" i="3" s="1"/>
  <c r="K11" i="3"/>
  <c r="K13" i="3" s="1"/>
  <c r="I39" i="3"/>
  <c r="I25" i="3"/>
  <c r="I32" i="3" s="1"/>
  <c r="I23" i="3"/>
  <c r="I30" i="3" s="1"/>
  <c r="I24" i="3"/>
  <c r="I31" i="3" s="1"/>
  <c r="I26" i="3"/>
  <c r="I33" i="3" s="1"/>
  <c r="I22" i="3"/>
  <c r="H34" i="3"/>
  <c r="H37" i="3" s="1"/>
  <c r="V6" i="3"/>
  <c r="V7" i="3" s="1"/>
  <c r="W5" i="3"/>
  <c r="W14" i="3" s="1"/>
  <c r="X12" i="3" s="1"/>
  <c r="J16" i="3" l="1"/>
  <c r="J17" i="3" s="1"/>
  <c r="J20" i="3" s="1"/>
  <c r="J21" i="3" s="1"/>
  <c r="J39" i="3" s="1"/>
  <c r="K10" i="3"/>
  <c r="K15" i="3" s="1"/>
  <c r="H38" i="3"/>
  <c r="H41" i="3" s="1"/>
  <c r="I40" i="3"/>
  <c r="I29" i="3"/>
  <c r="I34" i="3" s="1"/>
  <c r="I37" i="3" s="1"/>
  <c r="J25" i="3"/>
  <c r="J22" i="3"/>
  <c r="J26" i="3"/>
  <c r="J24" i="3"/>
  <c r="W6" i="3"/>
  <c r="W7" i="3" s="1"/>
  <c r="X5" i="3"/>
  <c r="X14" i="3" s="1"/>
  <c r="Y12" i="3" s="1"/>
  <c r="J23" i="3" l="1"/>
  <c r="L11" i="3"/>
  <c r="L13" i="3" s="1"/>
  <c r="L10" i="3"/>
  <c r="K16" i="3"/>
  <c r="I38" i="3"/>
  <c r="I41" i="3" s="1"/>
  <c r="J40" i="3"/>
  <c r="J31" i="3"/>
  <c r="J29" i="3"/>
  <c r="J32" i="3"/>
  <c r="J30" i="3"/>
  <c r="J33" i="3"/>
  <c r="X6" i="3"/>
  <c r="X7" i="3" s="1"/>
  <c r="Y5" i="3"/>
  <c r="Y14" i="3" s="1"/>
  <c r="Z12" i="3" s="1"/>
  <c r="K17" i="3" l="1"/>
  <c r="K20" i="3" s="1"/>
  <c r="K21" i="3" s="1"/>
  <c r="K39" i="3" s="1"/>
  <c r="J34" i="3"/>
  <c r="J37" i="3" s="1"/>
  <c r="Y6" i="3"/>
  <c r="Y7" i="3" s="1"/>
  <c r="Z5" i="3"/>
  <c r="Z14" i="3" s="1"/>
  <c r="AA12" i="3" s="1"/>
  <c r="AP12" i="3" l="1" a="1"/>
  <c r="AP12" i="3" s="1"/>
  <c r="J38" i="3"/>
  <c r="J41" i="3"/>
  <c r="K24" i="3"/>
  <c r="K31" i="3" s="1"/>
  <c r="K26" i="3"/>
  <c r="K33" i="3" s="1"/>
  <c r="K22" i="3"/>
  <c r="K25" i="3"/>
  <c r="K32" i="3" s="1"/>
  <c r="K23" i="3"/>
  <c r="K30" i="3" s="1"/>
  <c r="L15" i="3"/>
  <c r="Z6" i="3"/>
  <c r="Z7" i="3" s="1"/>
  <c r="AA5" i="3"/>
  <c r="AA14" i="3" s="1"/>
  <c r="AB12" i="3" s="1"/>
  <c r="L16" i="3" l="1"/>
  <c r="M11" i="3"/>
  <c r="M13" i="3" s="1"/>
  <c r="K40" i="3"/>
  <c r="L17" i="3"/>
  <c r="L20" i="3" s="1"/>
  <c r="L21" i="3" s="1"/>
  <c r="L39" i="3" s="1"/>
  <c r="K29" i="3"/>
  <c r="K34" i="3" s="1"/>
  <c r="K37" i="3" s="1"/>
  <c r="AB5" i="3"/>
  <c r="AB14" i="3" s="1"/>
  <c r="AC12" i="3" s="1"/>
  <c r="AA6" i="3"/>
  <c r="AA7" i="3" s="1"/>
  <c r="M10" i="3" l="1"/>
  <c r="K38" i="3"/>
  <c r="K41" i="3" s="1"/>
  <c r="L24" i="3"/>
  <c r="L31" i="3" s="1"/>
  <c r="L26" i="3"/>
  <c r="L33" i="3" s="1"/>
  <c r="L25" i="3"/>
  <c r="L32" i="3" s="1"/>
  <c r="L23" i="3"/>
  <c r="L30" i="3" s="1"/>
  <c r="L22" i="3"/>
  <c r="N11" i="3"/>
  <c r="N13" i="3" s="1"/>
  <c r="M15" i="3"/>
  <c r="AC5" i="3"/>
  <c r="AC14" i="3" s="1"/>
  <c r="AD12" i="3" s="1"/>
  <c r="AB6" i="3"/>
  <c r="AB7" i="3" s="1"/>
  <c r="N10" i="3" l="1"/>
  <c r="M16" i="3"/>
  <c r="L40" i="3"/>
  <c r="L29" i="3"/>
  <c r="L34" i="3" s="1"/>
  <c r="L37" i="3" s="1"/>
  <c r="AD5" i="3"/>
  <c r="AD14" i="3" s="1"/>
  <c r="AE12" i="3" s="1"/>
  <c r="AC6" i="3"/>
  <c r="AC7" i="3" s="1"/>
  <c r="L38" i="3" l="1"/>
  <c r="L41" i="3" s="1"/>
  <c r="M17" i="3"/>
  <c r="M20" i="3" s="1"/>
  <c r="M21" i="3" s="1"/>
  <c r="M39" i="3" s="1"/>
  <c r="AE5" i="3"/>
  <c r="AE14" i="3" s="1"/>
  <c r="AF12" i="3" s="1"/>
  <c r="AD6" i="3"/>
  <c r="AD7" i="3" s="1"/>
  <c r="O11" i="3" l="1"/>
  <c r="O13" i="3" s="1"/>
  <c r="N15" i="3"/>
  <c r="M23" i="3"/>
  <c r="M30" i="3" s="1"/>
  <c r="M24" i="3"/>
  <c r="M31" i="3" s="1"/>
  <c r="M26" i="3"/>
  <c r="M33" i="3" s="1"/>
  <c r="M25" i="3"/>
  <c r="M32" i="3" s="1"/>
  <c r="M22" i="3"/>
  <c r="M40" i="3" s="1"/>
  <c r="AF5" i="3"/>
  <c r="AF14" i="3" s="1"/>
  <c r="AG12" i="3" s="1"/>
  <c r="AE6" i="3"/>
  <c r="AE7" i="3" s="1"/>
  <c r="O10" i="3" l="1"/>
  <c r="N16" i="3"/>
  <c r="M29" i="3"/>
  <c r="M34" i="3" s="1"/>
  <c r="M37" i="3" s="1"/>
  <c r="AG5" i="3"/>
  <c r="AG14" i="3" s="1"/>
  <c r="AH12" i="3" s="1"/>
  <c r="AF6" i="3"/>
  <c r="AF7" i="3" s="1"/>
  <c r="M38" i="3" l="1"/>
  <c r="M41" i="3" s="1"/>
  <c r="AN16" i="3" a="1"/>
  <c r="AN16" i="3" s="1"/>
  <c r="N17" i="3"/>
  <c r="N20" i="3" s="1"/>
  <c r="N21" i="3" s="1"/>
  <c r="N39" i="3" s="1"/>
  <c r="AG6" i="3"/>
  <c r="AG7" i="3" s="1"/>
  <c r="AH5" i="3"/>
  <c r="AH14" i="3" s="1"/>
  <c r="AI12" i="3" s="1"/>
  <c r="AO10" i="3" l="1" a="1"/>
  <c r="AO10" i="3" s="1"/>
  <c r="O15" i="3"/>
  <c r="N25" i="3"/>
  <c r="N32" i="3" s="1"/>
  <c r="N22" i="3"/>
  <c r="N24" i="3"/>
  <c r="N31" i="3" s="1"/>
  <c r="N26" i="3"/>
  <c r="N33" i="3" s="1"/>
  <c r="N23" i="3"/>
  <c r="N30" i="3" s="1"/>
  <c r="AH6" i="3"/>
  <c r="AH7" i="3" s="1"/>
  <c r="AI5" i="3"/>
  <c r="AI14" i="3" s="1"/>
  <c r="AJ12" i="3" s="1"/>
  <c r="O16" i="3" l="1"/>
  <c r="P11" i="3"/>
  <c r="P13" i="3" s="1"/>
  <c r="N40" i="3"/>
  <c r="N29" i="3"/>
  <c r="N34" i="3" s="1"/>
  <c r="N37" i="3" s="1"/>
  <c r="AI6" i="3"/>
  <c r="AI7" i="3" s="1"/>
  <c r="AJ5" i="3"/>
  <c r="AJ14" i="3" s="1"/>
  <c r="AK12" i="3" s="1"/>
  <c r="P10" i="3" l="1"/>
  <c r="N38" i="3"/>
  <c r="N41" i="3" s="1"/>
  <c r="O17" i="3"/>
  <c r="AJ6" i="3"/>
  <c r="AJ7" i="3" s="1"/>
  <c r="AK5" i="3"/>
  <c r="AK14" i="3" s="1"/>
  <c r="AL12" i="3" s="1"/>
  <c r="O20" i="3" l="1"/>
  <c r="P15" i="3"/>
  <c r="AL5" i="3"/>
  <c r="AK6" i="3"/>
  <c r="AK7" i="3" s="1"/>
  <c r="P16" i="3" l="1"/>
  <c r="Q11" i="3"/>
  <c r="Q13" i="3" s="1"/>
  <c r="AL6" i="3"/>
  <c r="AL14" i="3"/>
  <c r="P17" i="3"/>
  <c r="O21" i="3"/>
  <c r="O39" i="3" s="1"/>
  <c r="Q10" i="3" l="1"/>
  <c r="AL7" i="3"/>
  <c r="AP14" i="3"/>
  <c r="AN14" i="3"/>
  <c r="AO14" i="3"/>
  <c r="R11" i="3"/>
  <c r="R13" i="3" s="1"/>
  <c r="Q15" i="3"/>
  <c r="O24" i="3"/>
  <c r="O23" i="3"/>
  <c r="O25" i="3"/>
  <c r="O26" i="3"/>
  <c r="O22" i="3"/>
  <c r="P20" i="3"/>
  <c r="R10" i="3" l="1"/>
  <c r="Q16" i="3"/>
  <c r="O40" i="3"/>
  <c r="R15" i="3"/>
  <c r="Q17" i="3"/>
  <c r="Q20" i="3" s="1"/>
  <c r="Q21" i="3" s="1"/>
  <c r="Q26" i="3" s="1"/>
  <c r="Q33" i="3" s="1"/>
  <c r="O33" i="3"/>
  <c r="O32" i="3"/>
  <c r="O29" i="3"/>
  <c r="O30" i="3"/>
  <c r="O31" i="3"/>
  <c r="P21" i="3"/>
  <c r="P39" i="3" s="1"/>
  <c r="S11" i="3" l="1"/>
  <c r="S13" i="3" s="1"/>
  <c r="Q24" i="3"/>
  <c r="Q31" i="3" s="1"/>
  <c r="R16" i="3"/>
  <c r="Q23" i="3"/>
  <c r="Q30" i="3" s="1"/>
  <c r="Q39" i="3"/>
  <c r="Q22" i="3"/>
  <c r="Q25" i="3"/>
  <c r="Q32" i="3" s="1"/>
  <c r="P26" i="3"/>
  <c r="P23" i="3"/>
  <c r="P22" i="3"/>
  <c r="P25" i="3"/>
  <c r="P24" i="3"/>
  <c r="O34" i="3"/>
  <c r="O37" i="3" s="1"/>
  <c r="S10" i="3" l="1"/>
  <c r="O38" i="3"/>
  <c r="O41" i="3"/>
  <c r="Q40" i="3"/>
  <c r="P40" i="3"/>
  <c r="Q29" i="3"/>
  <c r="Q34" i="3" s="1"/>
  <c r="Q37" i="3" s="1"/>
  <c r="P31" i="3"/>
  <c r="P32" i="3"/>
  <c r="P30" i="3"/>
  <c r="P33" i="3"/>
  <c r="P29" i="3"/>
  <c r="R17" i="3"/>
  <c r="Q38" i="3" l="1"/>
  <c r="Q41" i="3" s="1"/>
  <c r="R20" i="3"/>
  <c r="P34" i="3"/>
  <c r="P37" i="3" s="1"/>
  <c r="T11" i="3"/>
  <c r="T13" i="3" s="1"/>
  <c r="S15" i="3"/>
  <c r="T10" i="3" l="1"/>
  <c r="S16" i="3"/>
  <c r="P38" i="3"/>
  <c r="P41" i="3" s="1"/>
  <c r="R21" i="3"/>
  <c r="R39" i="3" s="1"/>
  <c r="R22" i="3" l="1"/>
  <c r="R26" i="3"/>
  <c r="R24" i="3"/>
  <c r="R23" i="3"/>
  <c r="R25" i="3"/>
  <c r="S17" i="3"/>
  <c r="S20" i="3" s="1"/>
  <c r="R40" i="3" l="1"/>
  <c r="R32" i="3"/>
  <c r="R30" i="3"/>
  <c r="R31" i="3"/>
  <c r="R33" i="3"/>
  <c r="S21" i="3"/>
  <c r="R29" i="3"/>
  <c r="T15" i="3"/>
  <c r="U11" i="3"/>
  <c r="U13" i="3" s="1"/>
  <c r="U10" i="3" l="1"/>
  <c r="T16" i="3"/>
  <c r="S26" i="3"/>
  <c r="S33" i="3" s="1"/>
  <c r="S39" i="3"/>
  <c r="S23" i="3"/>
  <c r="S30" i="3" s="1"/>
  <c r="S25" i="3"/>
  <c r="S32" i="3" s="1"/>
  <c r="S24" i="3"/>
  <c r="S31" i="3" s="1"/>
  <c r="R34" i="3"/>
  <c r="R37" i="3" s="1"/>
  <c r="T17" i="3"/>
  <c r="T20" i="3" s="1"/>
  <c r="T21" i="3" s="1"/>
  <c r="T39" i="3" s="1"/>
  <c r="S22" i="3"/>
  <c r="S40" i="3" l="1"/>
  <c r="R38" i="3"/>
  <c r="S29" i="3"/>
  <c r="T25" i="3"/>
  <c r="T32" i="3" s="1"/>
  <c r="T22" i="3"/>
  <c r="T24" i="3"/>
  <c r="T26" i="3"/>
  <c r="T23" i="3"/>
  <c r="T30" i="3" s="1"/>
  <c r="U15" i="3"/>
  <c r="U16" i="3" l="1"/>
  <c r="V11" i="3"/>
  <c r="V13" i="3" s="1"/>
  <c r="R41" i="3"/>
  <c r="T40" i="3"/>
  <c r="T33" i="3"/>
  <c r="S34" i="3"/>
  <c r="S37" i="3" s="1"/>
  <c r="T31" i="3"/>
  <c r="T29" i="3"/>
  <c r="U17" i="3"/>
  <c r="U20" i="3" s="1"/>
  <c r="U21" i="3" s="1"/>
  <c r="U39" i="3" s="1"/>
  <c r="V10" i="3" l="1"/>
  <c r="S38" i="3"/>
  <c r="S41" i="3"/>
  <c r="T34" i="3"/>
  <c r="T37" i="3" s="1"/>
  <c r="U22" i="3"/>
  <c r="U25" i="3"/>
  <c r="U32" i="3" s="1"/>
  <c r="U26" i="3"/>
  <c r="U33" i="3" s="1"/>
  <c r="U23" i="3"/>
  <c r="U30" i="3" s="1"/>
  <c r="U24" i="3"/>
  <c r="U31" i="3" s="1"/>
  <c r="T38" i="3" l="1"/>
  <c r="T41" i="3"/>
  <c r="U40" i="3"/>
  <c r="W11" i="3"/>
  <c r="W13" i="3" s="1"/>
  <c r="V15" i="3"/>
  <c r="U29" i="3"/>
  <c r="U34" i="3" s="1"/>
  <c r="U37" i="3" s="1"/>
  <c r="W10" i="3" l="1"/>
  <c r="V16" i="3"/>
  <c r="U38" i="3"/>
  <c r="U41" i="3" s="1"/>
  <c r="V17" i="3" l="1"/>
  <c r="V20" i="3" s="1"/>
  <c r="V21" i="3" s="1"/>
  <c r="V39" i="3" s="1"/>
  <c r="V22" i="3" l="1"/>
  <c r="V25" i="3"/>
  <c r="V32" i="3" s="1"/>
  <c r="V26" i="3"/>
  <c r="V33" i="3" s="1"/>
  <c r="V24" i="3"/>
  <c r="V31" i="3" s="1"/>
  <c r="V23" i="3"/>
  <c r="V30" i="3" s="1"/>
  <c r="W15" i="3"/>
  <c r="W16" i="3" l="1"/>
  <c r="X11" i="3"/>
  <c r="X13" i="3" s="1"/>
  <c r="V40" i="3"/>
  <c r="V29" i="3"/>
  <c r="V34" i="3" s="1"/>
  <c r="V37" i="3" s="1"/>
  <c r="X10" i="3" l="1"/>
  <c r="V38" i="3"/>
  <c r="V41" i="3" s="1"/>
  <c r="W17" i="3"/>
  <c r="W20" i="3" s="1"/>
  <c r="W21" i="3" s="1"/>
  <c r="W39" i="3" s="1"/>
  <c r="W24" i="3" l="1"/>
  <c r="W31" i="3" s="1"/>
  <c r="W22" i="3"/>
  <c r="W25" i="3"/>
  <c r="W32" i="3" s="1"/>
  <c r="W23" i="3"/>
  <c r="W30" i="3" s="1"/>
  <c r="W26" i="3"/>
  <c r="W33" i="3" s="1"/>
  <c r="Y11" i="3"/>
  <c r="Y13" i="3" s="1"/>
  <c r="X15" i="3"/>
  <c r="Y10" i="3" l="1"/>
  <c r="X16" i="3"/>
  <c r="W40" i="3"/>
  <c r="W29" i="3"/>
  <c r="W34" i="3" s="1"/>
  <c r="W37" i="3" s="1"/>
  <c r="X17" i="3"/>
  <c r="X20" i="3" s="1"/>
  <c r="X21" i="3" s="1"/>
  <c r="X39" i="3" s="1"/>
  <c r="W38" i="3" l="1"/>
  <c r="W41" i="3" s="1"/>
  <c r="X24" i="3"/>
  <c r="X31" i="3" s="1"/>
  <c r="X26" i="3"/>
  <c r="X33" i="3" s="1"/>
  <c r="X22" i="3"/>
  <c r="X23" i="3"/>
  <c r="X30" i="3" s="1"/>
  <c r="X25" i="3"/>
  <c r="X32" i="3" s="1"/>
  <c r="Z11" i="3"/>
  <c r="Z13" i="3" s="1"/>
  <c r="Y15" i="3"/>
  <c r="Z10" i="3" l="1"/>
  <c r="Y16" i="3"/>
  <c r="X40" i="3"/>
  <c r="X29" i="3"/>
  <c r="X34" i="3" s="1"/>
  <c r="X37" i="3" s="1"/>
  <c r="X38" i="3" l="1"/>
  <c r="X41" i="3" s="1"/>
  <c r="Y17" i="3"/>
  <c r="Y20" i="3" s="1"/>
  <c r="Y21" i="3" s="1"/>
  <c r="Y39" i="3" s="1"/>
  <c r="Y23" i="3" l="1"/>
  <c r="Y30" i="3" s="1"/>
  <c r="Y25" i="3"/>
  <c r="Y32" i="3" s="1"/>
  <c r="Y26" i="3"/>
  <c r="Y33" i="3" s="1"/>
  <c r="Y22" i="3"/>
  <c r="Y24" i="3"/>
  <c r="Y31" i="3" s="1"/>
  <c r="Z15" i="3"/>
  <c r="AA11" i="3"/>
  <c r="AA13" i="3" s="1"/>
  <c r="AA10" i="3" l="1"/>
  <c r="Z16" i="3"/>
  <c r="Y40" i="3"/>
  <c r="AO16" i="3" a="1"/>
  <c r="AO16" i="3" s="1"/>
  <c r="Z17" i="3"/>
  <c r="Z20" i="3" s="1"/>
  <c r="Z21" i="3" s="1"/>
  <c r="Z39" i="3" s="1"/>
  <c r="Y29" i="3"/>
  <c r="Y34" i="3" s="1"/>
  <c r="Y37" i="3" s="1"/>
  <c r="Y38" i="3" l="1"/>
  <c r="Y41" i="3" s="1"/>
  <c r="AP10" i="3" a="1"/>
  <c r="AP10" i="3" s="1"/>
  <c r="AA15" i="3"/>
  <c r="Z26" i="3"/>
  <c r="Z33" i="3" s="1"/>
  <c r="Z23" i="3"/>
  <c r="Z30" i="3" s="1"/>
  <c r="Z25" i="3"/>
  <c r="Z32" i="3" s="1"/>
  <c r="Z24" i="3"/>
  <c r="Z31" i="3" s="1"/>
  <c r="Z22" i="3"/>
  <c r="Z40" i="3" s="1"/>
  <c r="AA16" i="3" l="1"/>
  <c r="AB11" i="3"/>
  <c r="AB13" i="3" s="1"/>
  <c r="Z29" i="3"/>
  <c r="Z34" i="3" s="1"/>
  <c r="Z37" i="3" s="1"/>
  <c r="AB10" i="3" l="1"/>
  <c r="Z38" i="3"/>
  <c r="Z41" i="3"/>
  <c r="AA17" i="3"/>
  <c r="AA20" i="3" s="1"/>
  <c r="AA21" i="3" s="1"/>
  <c r="AA26" i="3" l="1"/>
  <c r="AA33" i="3" s="1"/>
  <c r="AA39" i="3"/>
  <c r="AA24" i="3"/>
  <c r="AA22" i="3"/>
  <c r="AA23" i="3"/>
  <c r="AA30" i="3" s="1"/>
  <c r="AA25" i="3"/>
  <c r="AA32" i="3" s="1"/>
  <c r="AC11" i="3"/>
  <c r="AC13" i="3" s="1"/>
  <c r="AB15" i="3"/>
  <c r="AA31" i="3"/>
  <c r="AC10" i="3" l="1"/>
  <c r="AB16" i="3"/>
  <c r="AA29" i="3"/>
  <c r="AA34" i="3" s="1"/>
  <c r="AA37" i="3" s="1"/>
  <c r="AA40" i="3"/>
  <c r="AB17" i="3"/>
  <c r="AB20" i="3" s="1"/>
  <c r="AB21" i="3" s="1"/>
  <c r="AB39" i="3" s="1"/>
  <c r="AA38" i="3" l="1"/>
  <c r="AA41" i="3" s="1"/>
  <c r="AC15" i="3"/>
  <c r="AB22" i="3"/>
  <c r="AB26" i="3"/>
  <c r="AB24" i="3"/>
  <c r="AB23" i="3"/>
  <c r="AB25" i="3"/>
  <c r="AC16" i="3" l="1"/>
  <c r="AD11" i="3"/>
  <c r="AD13" i="3" s="1"/>
  <c r="AB40" i="3"/>
  <c r="AB29" i="3"/>
  <c r="AB31" i="3"/>
  <c r="AB33" i="3"/>
  <c r="AB32" i="3"/>
  <c r="AB30" i="3"/>
  <c r="AD10" i="3" l="1"/>
  <c r="AC17" i="3"/>
  <c r="AC20" i="3" s="1"/>
  <c r="AC21" i="3" s="1"/>
  <c r="AC39" i="3" s="1"/>
  <c r="AB34" i="3"/>
  <c r="AB37" i="3" s="1"/>
  <c r="AB38" i="3" l="1"/>
  <c r="AE11" i="3"/>
  <c r="AE13" i="3" s="1"/>
  <c r="AD15" i="3"/>
  <c r="AC25" i="3"/>
  <c r="AC23" i="3"/>
  <c r="AC22" i="3"/>
  <c r="AC24" i="3"/>
  <c r="AC26" i="3"/>
  <c r="AE10" i="3" l="1"/>
  <c r="AD16" i="3"/>
  <c r="AB41" i="3"/>
  <c r="AC40" i="3"/>
  <c r="AD17" i="3"/>
  <c r="AD20" i="3" s="1"/>
  <c r="AD21" i="3" s="1"/>
  <c r="AD39" i="3" s="1"/>
  <c r="AC29" i="3"/>
  <c r="AC32" i="3"/>
  <c r="AC31" i="3"/>
  <c r="AC30" i="3"/>
  <c r="AC33" i="3"/>
  <c r="AF11" i="3" l="1"/>
  <c r="AF13" i="3" s="1"/>
  <c r="AE15" i="3"/>
  <c r="AD22" i="3"/>
  <c r="AD26" i="3"/>
  <c r="AD33" i="3" s="1"/>
  <c r="AD23" i="3"/>
  <c r="AD30" i="3" s="1"/>
  <c r="AD24" i="3"/>
  <c r="AD31" i="3" s="1"/>
  <c r="AD25" i="3"/>
  <c r="AD32" i="3" s="1"/>
  <c r="AC34" i="3"/>
  <c r="AC37" i="3" s="1"/>
  <c r="AF10" i="3" l="1"/>
  <c r="AE16" i="3"/>
  <c r="AC38" i="3"/>
  <c r="AC41" i="3" s="1"/>
  <c r="AD40" i="3"/>
  <c r="AD29" i="3"/>
  <c r="AD34" i="3" s="1"/>
  <c r="AD37" i="3" s="1"/>
  <c r="AE17" i="3"/>
  <c r="AE20" i="3" s="1"/>
  <c r="AE21" i="3" s="1"/>
  <c r="AE39" i="3" s="1"/>
  <c r="AD38" i="3" l="1"/>
  <c r="AD41" i="3" s="1"/>
  <c r="AF15" i="3"/>
  <c r="AG11" i="3"/>
  <c r="AG13" i="3" s="1"/>
  <c r="AE25" i="3"/>
  <c r="AE24" i="3"/>
  <c r="AE22" i="3"/>
  <c r="AE23" i="3"/>
  <c r="AE26" i="3"/>
  <c r="AG10" i="3" l="1"/>
  <c r="AF16" i="3"/>
  <c r="AE40" i="3"/>
  <c r="AE33" i="3"/>
  <c r="AE30" i="3"/>
  <c r="AE31" i="3"/>
  <c r="AE29" i="3"/>
  <c r="AE32" i="3"/>
  <c r="AF17" i="3" l="1"/>
  <c r="AF20" i="3" s="1"/>
  <c r="AF21" i="3" s="1"/>
  <c r="AF39" i="3" s="1"/>
  <c r="AE34" i="3"/>
  <c r="AE37" i="3" s="1"/>
  <c r="AE38" i="3" l="1"/>
  <c r="AE41" i="3" s="1"/>
  <c r="AG15" i="3"/>
  <c r="AF24" i="3"/>
  <c r="AF31" i="3" s="1"/>
  <c r="AF23" i="3"/>
  <c r="AF30" i="3" s="1"/>
  <c r="AF25" i="3"/>
  <c r="AF32" i="3" s="1"/>
  <c r="AF26" i="3"/>
  <c r="AF33" i="3" s="1"/>
  <c r="AF22" i="3"/>
  <c r="AF40" i="3" s="1"/>
  <c r="AG16" i="3" l="1"/>
  <c r="AH11" i="3"/>
  <c r="AH13" i="3" s="1"/>
  <c r="AF29" i="3"/>
  <c r="AF34" i="3" s="1"/>
  <c r="AF37" i="3" s="1"/>
  <c r="AH10" i="3" l="1"/>
  <c r="AF38" i="3"/>
  <c r="AF41" i="3" s="1"/>
  <c r="AG17" i="3"/>
  <c r="AG20" i="3" s="1"/>
  <c r="AG21" i="3" s="1"/>
  <c r="AG39" i="3" s="1"/>
  <c r="AG26" i="3" l="1"/>
  <c r="AG33" i="3" s="1"/>
  <c r="AG25" i="3"/>
  <c r="AG32" i="3" s="1"/>
  <c r="AG22" i="3"/>
  <c r="AG24" i="3"/>
  <c r="AG31" i="3" s="1"/>
  <c r="AG23" i="3"/>
  <c r="AG30" i="3" s="1"/>
  <c r="AH15" i="3"/>
  <c r="AH16" i="3" l="1"/>
  <c r="AI11" i="3"/>
  <c r="AI13" i="3" s="1"/>
  <c r="AG40" i="3"/>
  <c r="AG29" i="3"/>
  <c r="AG34" i="3" s="1"/>
  <c r="AG37" i="3" s="1"/>
  <c r="AI10" i="3" l="1"/>
  <c r="AG38" i="3"/>
  <c r="AG41" i="3" s="1"/>
  <c r="AH17" i="3"/>
  <c r="AH20" i="3" s="1"/>
  <c r="AH21" i="3" s="1"/>
  <c r="AH39" i="3" s="1"/>
  <c r="AJ11" i="3" l="1"/>
  <c r="AJ13" i="3" s="1"/>
  <c r="AI15" i="3"/>
  <c r="AH25" i="3"/>
  <c r="AH32" i="3" s="1"/>
  <c r="AH22" i="3"/>
  <c r="AH23" i="3"/>
  <c r="AH30" i="3" s="1"/>
  <c r="AH24" i="3"/>
  <c r="AH31" i="3" s="1"/>
  <c r="AH26" i="3"/>
  <c r="AH33" i="3" s="1"/>
  <c r="AJ10" i="3" l="1"/>
  <c r="AI16" i="3"/>
  <c r="AH40" i="3"/>
  <c r="AI17" i="3"/>
  <c r="AI20" i="3" s="1"/>
  <c r="AI21" i="3" s="1"/>
  <c r="AI39" i="3" s="1"/>
  <c r="AH29" i="3"/>
  <c r="AH34" i="3" s="1"/>
  <c r="AH37" i="3" s="1"/>
  <c r="AH38" i="3" l="1"/>
  <c r="AH41" i="3" s="1"/>
  <c r="AJ15" i="3"/>
  <c r="AK11" i="3"/>
  <c r="AK13" i="3" s="1"/>
  <c r="AI23" i="3"/>
  <c r="AI30" i="3" s="1"/>
  <c r="AI24" i="3"/>
  <c r="AI31" i="3" s="1"/>
  <c r="AI26" i="3"/>
  <c r="AI33" i="3" s="1"/>
  <c r="AI22" i="3"/>
  <c r="AI25" i="3"/>
  <c r="AI32" i="3" s="1"/>
  <c r="AK10" i="3" l="1"/>
  <c r="AJ16" i="3"/>
  <c r="AJ17" i="3" s="1"/>
  <c r="AJ20" i="3" s="1"/>
  <c r="AJ21" i="3" s="1"/>
  <c r="AJ39" i="3" s="1"/>
  <c r="AI40" i="3"/>
  <c r="AJ24" i="3"/>
  <c r="AJ31" i="3" s="1"/>
  <c r="AJ26" i="3"/>
  <c r="AJ33" i="3" s="1"/>
  <c r="AJ25" i="3"/>
  <c r="AJ32" i="3" s="1"/>
  <c r="AJ22" i="3"/>
  <c r="AJ23" i="3"/>
  <c r="AJ30" i="3" s="1"/>
  <c r="AI29" i="3"/>
  <c r="AI34" i="3" s="1"/>
  <c r="AI37" i="3" s="1"/>
  <c r="AI38" i="3" l="1"/>
  <c r="AI41" i="3" s="1"/>
  <c r="AJ40" i="3"/>
  <c r="AJ29" i="3"/>
  <c r="AJ34" i="3" s="1"/>
  <c r="AJ37" i="3" s="1"/>
  <c r="AL11" i="3"/>
  <c r="AK15" i="3"/>
  <c r="AN15" i="3"/>
  <c r="AO15" i="3"/>
  <c r="AN13" i="3"/>
  <c r="AO13" i="3"/>
  <c r="AL10" i="3" l="1"/>
  <c r="AL13" i="3"/>
  <c r="AK16" i="3"/>
  <c r="AJ38" i="3"/>
  <c r="AJ41" i="3" s="1"/>
  <c r="AN17" i="3"/>
  <c r="AO17" i="3"/>
  <c r="AK17" i="3" l="1"/>
  <c r="AN20" i="3"/>
  <c r="AO20" i="3"/>
  <c r="AK20" i="3" l="1"/>
  <c r="AL15" i="3"/>
  <c r="AP15" i="3" s="1"/>
  <c r="AL16" i="3"/>
  <c r="AL17" i="3" s="1"/>
  <c r="AN21" i="3"/>
  <c r="C27" i="6" s="1"/>
  <c r="C79" i="6" s="1"/>
  <c r="AO21" i="3"/>
  <c r="D27" i="6" s="1"/>
  <c r="AL20" i="3" l="1"/>
  <c r="AL21" i="3" s="1"/>
  <c r="AL39" i="3" s="1"/>
  <c r="AP17" i="3"/>
  <c r="AP13" i="3"/>
  <c r="AP16" i="3" a="1"/>
  <c r="AP16" i="3" s="1"/>
  <c r="AK21" i="3"/>
  <c r="AK39" i="3" s="1"/>
  <c r="AP20" i="3"/>
  <c r="AN23" i="3"/>
  <c r="AO23" i="3"/>
  <c r="AN25" i="3"/>
  <c r="AO25" i="3"/>
  <c r="AN22" i="3"/>
  <c r="AO22" i="3"/>
  <c r="AN26" i="3"/>
  <c r="C80" i="6" s="1"/>
  <c r="C81" i="6" s="1"/>
  <c r="AO26" i="3"/>
  <c r="AN24" i="3"/>
  <c r="AO24" i="3"/>
  <c r="G87" i="6" l="1"/>
  <c r="G86" i="6"/>
  <c r="C83" i="6"/>
  <c r="AN39" i="3"/>
  <c r="C32" i="6" s="1"/>
  <c r="AO39" i="3"/>
  <c r="D32" i="6" s="1"/>
  <c r="AP39" i="3"/>
  <c r="E32" i="6" s="1"/>
  <c r="F32" i="6" s="1"/>
  <c r="AK23" i="3"/>
  <c r="AK22" i="3"/>
  <c r="AK25" i="3"/>
  <c r="AK26" i="3"/>
  <c r="AK24" i="3"/>
  <c r="AP21" i="3"/>
  <c r="E27" i="6" s="1"/>
  <c r="F27" i="6" s="1"/>
  <c r="AL24" i="3"/>
  <c r="AL31" i="3" s="1"/>
  <c r="AL26" i="3"/>
  <c r="AL33" i="3" s="1"/>
  <c r="AL22" i="3"/>
  <c r="AL23" i="3"/>
  <c r="AL30" i="3" s="1"/>
  <c r="AL25" i="3"/>
  <c r="AL32" i="3" s="1"/>
  <c r="AN29" i="3"/>
  <c r="AO29" i="3"/>
  <c r="AN33" i="3"/>
  <c r="AO33" i="3"/>
  <c r="AN32" i="3"/>
  <c r="AO32" i="3"/>
  <c r="AN31" i="3"/>
  <c r="AO31" i="3"/>
  <c r="AN30" i="3"/>
  <c r="AO30" i="3"/>
  <c r="D87" i="6" l="1"/>
  <c r="D86" i="6"/>
  <c r="C42" i="6"/>
  <c r="C64" i="6"/>
  <c r="G88" i="6"/>
  <c r="AL40" i="3"/>
  <c r="AK40" i="3"/>
  <c r="AL29" i="3"/>
  <c r="AL34" i="3" s="1"/>
  <c r="AL37" i="3" s="1"/>
  <c r="C20" i="1"/>
  <c r="AK31" i="3"/>
  <c r="AP31" i="3" s="1"/>
  <c r="AP24" i="3"/>
  <c r="AK32" i="3"/>
  <c r="AP32" i="3" s="1"/>
  <c r="AP25" i="3"/>
  <c r="AK33" i="3"/>
  <c r="AP33" i="3" s="1"/>
  <c r="AP26" i="3"/>
  <c r="AK29" i="3"/>
  <c r="AP22" i="3"/>
  <c r="AK30" i="3"/>
  <c r="AP30" i="3" s="1"/>
  <c r="AP23" i="3"/>
  <c r="AN34" i="3"/>
  <c r="C28" i="6" s="1"/>
  <c r="AO34" i="3"/>
  <c r="D28" i="6" s="1"/>
  <c r="H48" i="6"/>
  <c r="H49" i="6"/>
  <c r="H47" i="6"/>
  <c r="E67" i="6" l="1"/>
  <c r="E68" i="6"/>
  <c r="E70" i="6"/>
  <c r="E69" i="6"/>
  <c r="AL38" i="3"/>
  <c r="AL41" i="3" s="1"/>
  <c r="AN37" i="3"/>
  <c r="AO37" i="3"/>
  <c r="AN40" i="3"/>
  <c r="AO40" i="3"/>
  <c r="D33" i="6" s="1"/>
  <c r="AP40" i="3"/>
  <c r="E33" i="6" s="1"/>
  <c r="AK34" i="3"/>
  <c r="AK37" i="3" s="1"/>
  <c r="AP29" i="3"/>
  <c r="AN38" i="3" l="1"/>
  <c r="AN41" i="3" s="1"/>
  <c r="AO38" i="3"/>
  <c r="AO41" i="3" s="1"/>
  <c r="AK38" i="3"/>
  <c r="AP38" i="3" s="1"/>
  <c r="AP37" i="3"/>
  <c r="C6" i="6" s="1"/>
  <c r="D29" i="6"/>
  <c r="C33" i="6"/>
  <c r="C9" i="6"/>
  <c r="C29" i="6"/>
  <c r="C43" i="6"/>
  <c r="AP34" i="3"/>
  <c r="E28" i="6" s="1"/>
  <c r="F28" i="6" s="1"/>
  <c r="G28" i="6" s="1"/>
  <c r="F33" i="6" l="1"/>
  <c r="C78" i="6"/>
  <c r="E87" i="6"/>
  <c r="E86" i="6"/>
  <c r="AK41" i="3"/>
  <c r="D37" i="6"/>
  <c r="D30" i="6"/>
  <c r="D31" i="6" s="1"/>
  <c r="D34" i="6" s="1"/>
  <c r="D36" i="6" s="1"/>
  <c r="AP41" i="3"/>
  <c r="C41" i="6"/>
  <c r="C30" i="6"/>
  <c r="C31" i="6" s="1"/>
  <c r="D9" i="6"/>
  <c r="D6" i="6"/>
  <c r="C7" i="6"/>
  <c r="D48" i="6"/>
  <c r="D47" i="6"/>
  <c r="C24" i="1"/>
  <c r="D24" i="1" s="1"/>
  <c r="D35" i="6"/>
  <c r="D49" i="6"/>
  <c r="E29" i="6"/>
  <c r="C37" i="6"/>
  <c r="C35" i="6"/>
  <c r="C77" i="6" l="1"/>
  <c r="C82" i="6" s="1"/>
  <c r="F86" i="6"/>
  <c r="H86" i="6" s="1"/>
  <c r="F87" i="6"/>
  <c r="H87" i="6" s="1"/>
  <c r="G33" i="6"/>
  <c r="D7" i="6"/>
  <c r="C22" i="1"/>
  <c r="D22" i="1" s="1"/>
  <c r="C34" i="6"/>
  <c r="C36" i="6" s="1"/>
  <c r="E30" i="6"/>
  <c r="F30" i="6" s="1"/>
  <c r="C8" i="6"/>
  <c r="C23" i="1" s="1"/>
  <c r="D23" i="1" s="1"/>
  <c r="C12" i="6"/>
  <c r="C11" i="6"/>
  <c r="E37" i="6"/>
  <c r="E35" i="6"/>
  <c r="F29" i="6"/>
  <c r="G30" i="6" l="1"/>
  <c r="G69" i="6"/>
  <c r="G70" i="6"/>
  <c r="G68" i="6"/>
  <c r="G67" i="6"/>
  <c r="G29" i="6"/>
  <c r="F69" i="6"/>
  <c r="F67" i="6"/>
  <c r="F70" i="6"/>
  <c r="F68" i="6"/>
  <c r="E31" i="6"/>
  <c r="E34" i="6" s="1"/>
  <c r="E36" i="6" s="1"/>
  <c r="C14" i="6"/>
  <c r="C50" i="6" s="1"/>
  <c r="F31" i="6"/>
  <c r="D8" i="6"/>
  <c r="C10" i="6"/>
  <c r="C13" i="6"/>
  <c r="D10" i="6"/>
  <c r="F47" i="6"/>
  <c r="F49" i="6"/>
  <c r="F37" i="6"/>
  <c r="F35" i="6"/>
  <c r="C26" i="1" s="1"/>
  <c r="F48" i="6"/>
  <c r="C21" i="1"/>
  <c r="D21" i="1" s="1"/>
  <c r="H67" i="6" l="1"/>
  <c r="C71" i="6"/>
  <c r="H69" i="6"/>
  <c r="H70" i="6"/>
  <c r="H68" i="6"/>
  <c r="H50" i="6"/>
  <c r="D50" i="6"/>
  <c r="F50" i="6" s="1"/>
  <c r="F34" i="6"/>
  <c r="G34" i="6" s="1"/>
  <c r="G31" i="6"/>
  <c r="E49" i="6"/>
  <c r="G49" i="6" s="1"/>
  <c r="E47" i="6"/>
  <c r="G47" i="6" s="1"/>
  <c r="E48" i="6"/>
  <c r="G48" i="6" s="1"/>
  <c r="C25" i="1"/>
  <c r="D25" i="1" s="1"/>
  <c r="E50" i="6" l="1"/>
  <c r="G50" i="6" s="1"/>
  <c r="F36" i="6"/>
  <c r="C27" i="1" s="1"/>
  <c r="E71" i="6"/>
  <c r="D71" i="6"/>
  <c r="F71" i="6" l="1"/>
  <c r="G71" i="6"/>
  <c r="H7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Johannes Le Roux</author>
  </authors>
  <commentList>
    <comment ref="C30" authorId="0" shapeId="0" xr:uid="{4950C768-135C-D745-807E-B3A15357B0BF}">
      <text>
        <r>
          <rPr>
            <b/>
            <sz val="10"/>
            <color rgb="FF000000"/>
            <rFont val="Tahoma"/>
            <family val="2"/>
          </rPr>
          <t>Amateur hole-in-one odds, approximately 1 in 12,500 per Par 3 attempt. Held flat across all five tiers: stake size in this format is driven by bravado and peer display rather than handicap, so the largest prizes do not attract the strongest golfers. Source: widely cited amateur ace frequency (National Hole-In-One Registry / USGA-referenced amateur odds). Confirm against underwriter's own experience data.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<sst xmlns="http://schemas.openxmlformats.org/spreadsheetml/2006/main" count="240" uniqueCount="213">
  <si>
    <t>ZAR per USD</t>
  </si>
  <si>
    <t>FX assumption — confirm rate to use</t>
  </si>
  <si>
    <t>Global markets open (UK/US/ME/Asia)</t>
  </si>
  <si>
    <t>Monthly churn rate</t>
  </si>
  <si>
    <t>% of base lost per month</t>
  </si>
  <si>
    <t>Month</t>
  </si>
  <si>
    <t>Blue = input you can change.   Black = calculated.   Yellow = key risk assumption to confirm.</t>
  </si>
  <si>
    <t>SCOPE &amp; COVER</t>
  </si>
  <si>
    <t>Insurance premium (% of entry revenue)</t>
  </si>
  <si>
    <t>Premium ceded to underwriter</t>
  </si>
  <si>
    <t>Cover level (% of prize insured)</t>
  </si>
  <si>
    <t>100% payout cover — no retained risk</t>
  </si>
  <si>
    <t>PLAYER BASE</t>
  </si>
  <si>
    <t>Registered players at month 0</t>
  </si>
  <si>
    <t>Current registered base</t>
  </si>
  <si>
    <t>Monthly player growth — Year 1</t>
  </si>
  <si>
    <t>The Ernie Els effect</t>
  </si>
  <si>
    <t>Monthly player growth — Year 2</t>
  </si>
  <si>
    <t>SA + first international markets</t>
  </si>
  <si>
    <t>Monthly player growth — Year 3</t>
  </si>
  <si>
    <t>ENGAGEMENT — ATTEMPTS TO ENTRIES</t>
  </si>
  <si>
    <t>Rounds per player per month</t>
  </si>
  <si>
    <t>Rounds of golf played per active player</t>
  </si>
  <si>
    <t>Par 3 holes per round</t>
  </si>
  <si>
    <t>Standard 18-hole course — one shot at each</t>
  </si>
  <si>
    <t>Par 3 attempts per player per month</t>
  </si>
  <si>
    <t>Maximum insurable swings available</t>
  </si>
  <si>
    <t>Entry conversion (% of attempts bought)</t>
  </si>
  <si>
    <t>Paid entries per player per month</t>
  </si>
  <si>
    <t>Drives all revenue and all exposure</t>
  </si>
  <si>
    <t>ACE PROBABILITY</t>
  </si>
  <si>
    <t>Per-attempt hole-in-one probability</t>
  </si>
  <si>
    <t>Applied flat across all tiers</t>
  </si>
  <si>
    <t>Sense-check on the line above</t>
  </si>
  <si>
    <t>Implied odds — 1 in every X attempts</t>
  </si>
  <si>
    <t>PRIZE LADDER — ONE SHOT AT THE HOLE IN ONE, EVERY PAR 3</t>
  </si>
  <si>
    <t>Tier</t>
  </si>
  <si>
    <t>Entry ($)</t>
  </si>
  <si>
    <t>Prize ($)</t>
  </si>
  <si>
    <t>Mix (% of entries)</t>
  </si>
  <si>
    <t>Expected claim / entry ($)</t>
  </si>
  <si>
    <t>Premium / entry ($)</t>
  </si>
  <si>
    <t>Loss ratio</t>
  </si>
  <si>
    <t>Tier 1</t>
  </si>
  <si>
    <t>Tier 2</t>
  </si>
  <si>
    <t>Tier 3</t>
  </si>
  <si>
    <t>Tier 4</t>
  </si>
  <si>
    <t>Tier 5</t>
  </si>
  <si>
    <t>Weighted average / total</t>
  </si>
  <si>
    <t>Mix check — must total 100%</t>
  </si>
  <si>
    <t>One paid shot at the hole-in-one prize on every Par 3. All drivers live on the Assumptions tab.</t>
  </si>
  <si>
    <t>Year</t>
  </si>
  <si>
    <t>Monthly growth rate applied</t>
  </si>
  <si>
    <t>PLAYERS</t>
  </si>
  <si>
    <t>Opening registered players</t>
  </si>
  <si>
    <t>Players churned</t>
  </si>
  <si>
    <t>Closing registered players</t>
  </si>
  <si>
    <t>Average active players</t>
  </si>
  <si>
    <t>VOLUME — SWINGS &amp; ENTRIES</t>
  </si>
  <si>
    <t>Par 3 attempts available</t>
  </si>
  <si>
    <t>Paid entries (total)</t>
  </si>
  <si>
    <t xml:space="preserve">   Tier 1 entries ($1 → $500)</t>
  </si>
  <si>
    <t xml:space="preserve">   Tier 2 entries ($5 → $2,500)</t>
  </si>
  <si>
    <t xml:space="preserve">   Tier 3 entries ($10 → $10,000)</t>
  </si>
  <si>
    <t xml:space="preserve">   Tier 4 entries ($50 → $50,000)</t>
  </si>
  <si>
    <t xml:space="preserve">   Tier 5 entries ($100 → $100,000)</t>
  </si>
  <si>
    <t xml:space="preserve">   Tier 1 revenue</t>
  </si>
  <si>
    <t xml:space="preserve">   Tier 2 revenue</t>
  </si>
  <si>
    <t xml:space="preserve">   Tier 3 revenue</t>
  </si>
  <si>
    <t xml:space="preserve">   Tier 4 revenue</t>
  </si>
  <si>
    <t xml:space="preserve">   Tier 5 revenue</t>
  </si>
  <si>
    <t>Total entry revenue</t>
  </si>
  <si>
    <t>Expected aces (count)</t>
  </si>
  <si>
    <t>Largest single-event exposure</t>
  </si>
  <si>
    <t>ANNUAL SUMMARY</t>
  </si>
  <si>
    <t>Year 1</t>
  </si>
  <si>
    <t>Year 2</t>
  </si>
  <si>
    <t>Year 3</t>
  </si>
  <si>
    <t>UNDERWRITER RETURN ON RISK — SANTAM SUBMISSION</t>
  </si>
  <si>
    <t>24% of every entry is ceded as premium, in exchange for 100% cover of every verified hole-in-one payout.</t>
  </si>
  <si>
    <t>HEADLINE — 36 MONTHS</t>
  </si>
  <si>
    <t>Premium income ceded to underwriter</t>
  </si>
  <si>
    <t>Expected claims paid</t>
  </si>
  <si>
    <t>Underwriting profit</t>
  </si>
  <si>
    <t>Loss ratio (claims ÷ premium)</t>
  </si>
  <si>
    <t>Return on premium</t>
  </si>
  <si>
    <t>Breakeven ace frequency multiple</t>
  </si>
  <si>
    <t>Aces must occur this many times more often than amateur odds predict before cover runs at a loss</t>
  </si>
  <si>
    <t>PER-ENTRY ECONOMICS BY TIER</t>
  </si>
  <si>
    <t>Mix of entries</t>
  </si>
  <si>
    <t>Premium / entry</t>
  </si>
  <si>
    <t>Expected claim / entry</t>
  </si>
  <si>
    <t>Weighted average</t>
  </si>
  <si>
    <t>ANNUAL PREMIUM vs CLAIMS</t>
  </si>
  <si>
    <t>3-Year Total</t>
  </si>
  <si>
    <t>Paid entries (insured swings)</t>
  </si>
  <si>
    <t>Entry revenue</t>
  </si>
  <si>
    <t>Premium income (24% of entry revenue)</t>
  </si>
  <si>
    <t>Premium collected per $1 of expected claim</t>
  </si>
  <si>
    <t>EXPOSURE PROFILE</t>
  </si>
  <si>
    <t>Largest single-event exposure (max prize)</t>
  </si>
  <si>
    <t>Average claim per ace</t>
  </si>
  <si>
    <t>Total insured swings over 36 months</t>
  </si>
  <si>
    <t>Peak monthly premium income</t>
  </si>
  <si>
    <t>FREQUENCY STRESS TEST — 36-MONTH BASIS</t>
  </si>
  <si>
    <t>Scenario</t>
  </si>
  <si>
    <t>Ace frequency multiple</t>
  </si>
  <si>
    <t>Claims paid</t>
  </si>
  <si>
    <t>Probability of this or worse</t>
  </si>
  <si>
    <t>Base case — amateur odds</t>
  </si>
  <si>
    <t>Adverse</t>
  </si>
  <si>
    <t>Severe</t>
  </si>
  <si>
    <t>Breakeven — cover runs at zero profit</t>
  </si>
  <si>
    <t>NOTES ON METHOD</t>
  </si>
  <si>
    <t>1. Expected claims = entries per tier x prize x per-attempt ace probability x cover level. Probability is held flat at 1 in 12,500 across all five tiers.</t>
  </si>
  <si>
    <t>4. Probabilities shown as 0.000% are below one thousandth of a percent, not exactly zero.</t>
  </si>
  <si>
    <t>THE PROPOSITION</t>
  </si>
  <si>
    <t>THE ENTRY LADDER</t>
  </si>
  <si>
    <t>$1 to win $500     |     $5 to win $2,500     |     $10 to win $10,000     |     $50 to win $50,000     |     $100 to win $100,000</t>
  </si>
  <si>
    <t>One entry buys one swing at one Par 3. There is no subscription and no unlimited-swing exposure.</t>
  </si>
  <si>
    <t>WHY THE RISK IS ATTRACTIVE</t>
  </si>
  <si>
    <t>At amateur ace odds of 1 in 12,500 per attempt, the expected claim is 4% of entry value on the two lowest tiers and 8% on the three highest.</t>
  </si>
  <si>
    <t>HEADLINE NUMBERS — 36 MONTHS</t>
  </si>
  <si>
    <t>Insured swings written</t>
  </si>
  <si>
    <t>Premium income to underwriter</t>
  </si>
  <si>
    <t>Expected claims</t>
  </si>
  <si>
    <t>HOW TO READ THE COLOURS</t>
  </si>
  <si>
    <t xml:space="preserve">   BLUE text     = an input you can change. These drive everything else.</t>
  </si>
  <si>
    <t xml:space="preserve">   BLACK text    = a formula. Do not type over these; they recalculate.</t>
  </si>
  <si>
    <t xml:space="preserve">   GREEN text    = a figure pulled from another tab in this workbook.</t>
  </si>
  <si>
    <t>THE THREE TABS</t>
  </si>
  <si>
    <t xml:space="preserve">   1. Assumptions      — every driver, plus the five-tier prize ladder and its per-entry risk economics.</t>
  </si>
  <si>
    <t>Stake size is display-driven, not skill-driven. The $100 entry is bought by the player who wants an audience, not the player most likely to hole out — so the largest prizes do not attract the strongest golfers.</t>
  </si>
  <si>
    <t>ENTRY REVENUE ($)</t>
  </si>
  <si>
    <t>PREMIUM &amp; INSURED EXPOSURE ($)</t>
  </si>
  <si>
    <t>Premium income to underwriter (24% of entries)</t>
  </si>
  <si>
    <t>Expected claims payable</t>
  </si>
  <si>
    <t>← ZAR equivalent at the FX rate on the Assumptions tab</t>
  </si>
  <si>
    <t>USD</t>
  </si>
  <si>
    <t>ZAR</t>
  </si>
  <si>
    <t>3-Year Total (ZAR)</t>
  </si>
  <si>
    <t>Broker commission to Indwe (% of premium)</t>
  </si>
  <si>
    <t>Brokerage on premium — a cost to the insurer</t>
  </si>
  <si>
    <t>Broker commission to Indwe (20% of premium)</t>
  </si>
  <si>
    <t>Expected underwriting profit (after brokerage)</t>
  </si>
  <si>
    <t>Net premium retained by insurer</t>
  </si>
  <si>
    <t>Combined ratio (claims + brokerage ÷ premium)</t>
  </si>
  <si>
    <t>5. Brokerage to Indwe at 20% of premium is deducted as a cost to the insurer. No claims handling expense, verification cost, reinsurance or capital loading is deducted. Underwriting profit is net premium less expected claims.</t>
  </si>
  <si>
    <t>Premium is 24% of entry value on every tier. On the modelled mix that is $4.08 of premium against $1.30 of expected claims per entry — a 31.9% loss ratio. After 20% brokerage to Indwe, the combined ratio is 51.9%.</t>
  </si>
  <si>
    <t>Santam carries no acquisition cost beyond brokerage: 24% of every entry is paid over as premium, of which 20% is ceded to Indwe as brokerage, in exchange for 100% cover of every verified ace payout.</t>
  </si>
  <si>
    <t>Players added over 3 years</t>
  </si>
  <si>
    <t>First month players arrive</t>
  </si>
  <si>
    <t>Integration build — no players before this month</t>
  </si>
  <si>
    <t>Ramp weight total (linear ramp to month 36)</t>
  </si>
  <si>
    <t>Denominator that spreads the 200,000 across the ramp</t>
  </si>
  <si>
    <t xml:space="preserve">   New players — organic growth</t>
  </si>
  <si>
    <t xml:space="preserve">   of which — organic cohort</t>
  </si>
  <si>
    <t>Ernie Els backed Hole In One App — underwriting submission</t>
  </si>
  <si>
    <t>The Ernie Els backed Hole In One App sells a golfer one shot at a hole-in-one prize on every Par 3, anywhere in the world. The golfer chooses the stake before they swing.</t>
  </si>
  <si>
    <t xml:space="preserve">   2. Build (Monthly)  — 36-month player, swing and entry build, including the Ernie Partner Network ramp, with premium, expected aces and claims by month and by year.</t>
  </si>
  <si>
    <t>ERNIE ELS BACKED HOLE IN ONE APP — ASSUMPTIONS</t>
  </si>
  <si>
    <t>ERNIE PARTNER NETWORK</t>
  </si>
  <si>
    <t>PGA, Golf Breaks, YGT and 100 partner courses — total incremental registered players</t>
  </si>
  <si>
    <t>In-app take-up on an available Par 3</t>
  </si>
  <si>
    <t>ERNIE ELS BACKED HOLE IN ONE APP — 36-MONTH BUILD</t>
  </si>
  <si>
    <t xml:space="preserve">   of which — Ernie Partner Network cohort</t>
  </si>
  <si>
    <t xml:space="preserve">   New players — Ernie Partner Network</t>
  </si>
  <si>
    <t>TIER-SELECTION STRESS TEST — ODDS LOADED ON TIERS 3–5 ONLY</t>
  </si>
  <si>
    <t>95% of expected claims sit in Tiers 3–5, which carry 1,000x payout leverage against 500x on Tiers 1–2. This test loads ace frequency on those three tiers only and holds Tiers 1–2 at flat amateur odds — the shape adverse selection would actually take.</t>
  </si>
  <si>
    <t>Expected claim per entry — Tiers 1–2 (unloaded)</t>
  </si>
  <si>
    <t>Weighted by entry mix — 50% of entries, 4.6% of claims</t>
  </si>
  <si>
    <t>Expected claim per entry — Tiers 3–5 (loaded in this test)</t>
  </si>
  <si>
    <t>Weighted by entry mix — 50% of entries, 95.4% of claims</t>
  </si>
  <si>
    <t>Total insured entries over 36 months</t>
  </si>
  <si>
    <t>Odds multiple on Tiers 3–5</t>
  </si>
  <si>
    <t>Implied odds on Tiers 3–5 (1 in X)</t>
  </si>
  <si>
    <t>36-month claims</t>
  </si>
  <si>
    <t>Combined ratio</t>
  </si>
  <si>
    <t>Base case — flat amateur odds across all tiers</t>
  </si>
  <si>
    <t>Mild selection — Tiers 3–5 run 1.5x amateur odds</t>
  </si>
  <si>
    <t>Moderate selection — Tiers 3–5 run 2x amateur odds</t>
  </si>
  <si>
    <t>Strong selection — low-handicap skew into top tiers</t>
  </si>
  <si>
    <t>Breakeven — cover runs at zero profit after brokerage</t>
  </si>
  <si>
    <t>Year 1 net premium retained by insurer</t>
  </si>
  <si>
    <t>Year 1 expected claims</t>
  </si>
  <si>
    <t>Year 1 insured entries</t>
  </si>
  <si>
    <t>Year 1 Tier 5 entries ($100 → $100,000)</t>
  </si>
  <si>
    <t>Expected Tier 5 aces in Year 1</t>
  </si>
  <si>
    <t>Year 1 expected claims from Tiers 1–4 (high frequency, low severity)</t>
  </si>
  <si>
    <t>Year 1 outcome</t>
  </si>
  <si>
    <t>Tier 5 aces</t>
  </si>
  <si>
    <t>Year 1 claims</t>
  </si>
  <si>
    <t>Year 1 loss ratio</t>
  </si>
  <si>
    <t>Year 1 underwriting profit</t>
  </si>
  <si>
    <t>NOTES ON THE STRESS TESTS ABOVE</t>
  </si>
  <si>
    <t>Loaded uniformly across all five tiers, aces would have to occur 2.51 times more often than amateur odds predict before the cover stops making money after brokerage — statistically negligible over 141 expected aces. The binding constraint is narrower: because Tiers 3–5 carry 95% of expected claims, loading only those tiers breaks the cover at 2.58x, or roughly 1 in 4,800 on the top three tiers. Both cases are tested on the Insurance ROI tab.</t>
  </si>
  <si>
    <t>3. Adverse selection is stress-tested separately in rows 60–71 rather than assumed away. The base case holds ace probability flat across all five tiers on the grounds that stake size in this format is driven by bravado and peer display, not by handicap — the $100 entry is bought by the player who wants an audience, not the player most likely to hole out. The tier-selection test below shows how much loading the top tiers can absorb.</t>
  </si>
  <si>
    <t>6. The tier-selection test is the binding constraint, not the frequency test in rows 45–50. Because Tiers 3–5 carry double the payout leverage and 95% of expected claims, the cover absorbs a full doubling of odds on those three tiers and still returns $1.27m, reaching breakeven only at 2.58x — equivalent to roughly 1 in 4,800 on the top three tiers. Uniform frequency loading across all five tiers reaches breakeven at 2.51x. Scenarios are shown to the breakeven point; setting risk appetite beyond that is the underwriter's call. Recommended mitigant: capture handicap at entry and reprice Tiers 4–5 after twelve months of claims experience.</t>
  </si>
  <si>
    <t>YEAR 1 RESILIENCE — IN PROFIT THROUGH A MAXIMUM-SEVERITY CLAIM</t>
  </si>
  <si>
    <t>Year 1 is the thinnest period in the book — the Ernie Partner Network ramps from month 7, so the first year writes 3% of total premium against the full $100,000 single-event limit. It still holds: Year 1 returns an underwriting profit even if a maximum-severity Tier 5 ace lands, and does so across 98% of outcomes. The insurer's exposure in the ramp period is bounded and priced.</t>
  </si>
  <si>
    <t>Largest possible single claim, absorbed within Year 1 net premium</t>
  </si>
  <si>
    <t>A full $100,000 ace consumes just over half of Year 1 net premium — the year stays in profit</t>
  </si>
  <si>
    <t>Probability of this outcome</t>
  </si>
  <si>
    <t>Still in profit?</t>
  </si>
  <si>
    <t>Expected outcome — no Tier 5 ace</t>
  </si>
  <si>
    <t>Worst case shown — a full $100,000 Tier 5 ace lands in Year 1</t>
  </si>
  <si>
    <t>Year 1 delivers an underwriting profit across these outcomes</t>
  </si>
  <si>
    <t>Yes</t>
  </si>
  <si>
    <t>7. Year 1 outcomes treat Tiers 1–4 claims at their expected value (high frequency, low severity) and vary only the number of $100,000 Tier 5 aces, which is where ramp-period volatility sits. Probabilities are Poisson on the Year 1 expected Tier 5 ace count. The point of the block is that the thinnest year in the book still pays: a maximum-severity claim leaves Year 1 in profit, and 98% of outcomes are profitable. An annual aggregate stop-loss or a first-year minimum premium is available as a structure if the underwriter prefers to cap the ramp period further.</t>
  </si>
  <si>
    <t xml:space="preserve">   3. Insurance ROI    — the underwriting case: premium against claims, exposure profile, frequency and tier-selection stress tests, and Year 1 resilience.</t>
  </si>
  <si>
    <t>2. This test scales total claims linearly with ace frequency and holds the tier mix constant, so it isolates frequency risk. The probability column is a Poisson tail on the 36-month expected ace count. Mix and selection risk are tested separately in rows 60–71.</t>
  </si>
  <si>
    <t>GET LUCKY GOLF CLUB   ×   SANTAM</t>
  </si>
  <si>
    <t xml:space="preserve">   GOLD fill    = key risk assumption to confirm with the underwriter.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</si>
</sst>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7" formatCode="#,##0;\(#,##0\);\-"/>
    <numFmt numFmtId="169" formatCode="0.000%"/>
    <numFmt numFmtId="173" formatCode="0.0%"/>
    <numFmt numFmtId="175" formatCode="0.0"/>
    <numFmt numFmtId="176" formatCode="0.00000%"/>
    <numFmt numFmtId="181" formatCode="0.00&quot;x&quot;"/>
    <numFmt numFmtId="184" formatCode="[$$-409]#,##0;\([$$-409]#,##0\);\-"/>
    <numFmt numFmtId="185" formatCode="[$R-1C09]#,##0;\([$R-1C09]#,##0\);\-"/>
    <numFmt numFmtId="186" formatCode="[$$-409]#,##0.00;\([$$-409]#,##0.00\);\-"/>
    <numFmt numFmtId="188" formatCode="[$$-409]#,##0"/>
    <numFmt numFmtId="190" formatCode="[$$-409]#,##0.00"/>
    <numFmt numFmtId="191" formatCode="0.000"/>
  </numFmts>
  <fonts count="28" x14ac:knownFonts="1">
    <font>
      <sz val="11"/>
      <color theme="1"/>
      <name val="Calibri"/>
      <family val="2"/>
      <charset val="1"/>
    </font>
    <font>
      <sz val="11"/>
      <color rgb="FF008000"/>
      <name val="Calibri"/>
      <family val="2"/>
      <charset val="1"/>
    </font>
    <font>
      <b/>
      <sz val="14"/>
      <color theme="1"/>
      <name val="Calibri"/>
      <family val="2"/>
      <charset val="1"/>
    </font>
    <font>
      <sz val="10"/>
      <color theme="1"/>
      <name val="Calibri"/>
      <family val="2"/>
      <charset val="1"/>
    </font>
    <font>
      <i/>
      <sz val="10"/>
      <color theme="1"/>
      <name val="Calibri"/>
      <family val="2"/>
      <charset val="1"/>
    </font>
    <font>
      <b/>
      <sz val="11"/>
      <color theme="1"/>
      <name val="Calibri"/>
      <family val="2"/>
      <charset val="1"/>
    </font>
    <font>
      <sz val="11"/>
      <color rgb="FF0000FF"/>
      <name val="Calibri"/>
      <family val="2"/>
      <charset val="1"/>
    </font>
    <font>
      <sz val="11"/>
      <color rgb="FF000000"/>
      <name val="Calibri"/>
      <family val="2"/>
      <charset val="1"/>
    </font>
    <font>
      <b/>
      <sz val="10"/>
      <color rgb="FF000000"/>
      <name val="Tahoma"/>
      <family val="2"/>
    </font>
    <font>
      <i/>
      <sz val="11"/>
      <color theme="1"/>
      <name val="Calibri"/>
      <family val="2"/>
      <charset val="1"/>
    </font>
    <font>
      <i/>
      <sz val="11"/>
      <color rgb="FF595959"/>
      <name val="Calibri"/>
      <family val="2"/>
      <charset val="1"/>
    </font>
    <font>
      <b/>
      <sz val="11"/>
      <color rgb="FF000000"/>
      <name val="Calibri"/>
      <family val="2"/>
      <charset val="1"/>
    </font>
    <font>
      <b/>
      <sz val="11"/>
      <color rgb="FFFFFFFF"/>
      <name val="Calibri"/>
      <family val="2"/>
      <charset val="1"/>
    </font>
    <font>
      <b/>
      <sz val="11"/>
      <color rgb="FF008000"/>
      <name val="Calibri"/>
      <family val="2"/>
      <charset val="1"/>
    </font>
    <font>
      <b/>
      <sz val="10"/>
      <color theme="1"/>
      <name val="Calibri"/>
      <family val="2"/>
      <charset val="1"/>
    </font>
    <font>
      <b/>
      <sz val="11"/>
      <color rgb="FFFFFFFF"/>
      <name val="Calibri"/>
      <family val="2"/>
    </font>
    <font>
      <sz val="10"/>
      <color rgb="FF000000"/>
      <name val="Calibri"/>
      <family val="2"/>
    </font>
    <font>
      <i/>
      <sz val="10"/>
      <color rgb="FF000000"/>
      <name val="Calibri"/>
      <family val="2"/>
    </font>
    <font>
      <sz val="11"/>
      <color theme="1"/>
      <name val="Calibri"/>
      <family val="2"/>
    </font>
    <font>
      <b/>
      <sz val="11"/>
      <color theme="1"/>
      <name val="Calibri"/>
      <family val="2"/>
    </font>
    <font>
      <sz val="11"/>
      <color rgb="FF008000"/>
      <name val="Calibri"/>
      <family val="2"/>
    </font>
    <font>
      <sz val="10"/>
      <color theme="1"/>
      <name val="Calibri"/>
      <family val="2"/>
    </font>
    <font>
      <i/>
      <sz val="10"/>
      <color theme="1"/>
      <name val="Calibri"/>
      <family val="2"/>
    </font>
    <font>
      <sz val="11"/>
      <color rgb="FF000000"/>
      <name val="Calibri"/>
      <family val="2"/>
    </font>
    <font>
      <sz val="11"/>
      <color rgb="FF0000FF"/>
      <name val="Calibri"/>
      <family val="2"/>
    </font>
    <font>
      <b/>
      <sz val="11"/>
      <color rgb="FF008000"/>
      <name val="Calibri"/>
      <family val="2"/>
    </font>
    <font>
      <b/>
      <sz val="16"/>
      <color rgb="FFFFFFFF"/>
      <name val="Calibri"/>
      <family val="2"/>
    </font>
    <font>
      <i/>
      <sz val="11"/>
      <color rgb="FFC9A227"/>
      <name val="Calibri"/>
      <family val="2"/>
    </font>
  </fonts>
  <fills count="7">
    <fill>
      <patternFill patternType="none"/>
    </fill>
    <fill>
      <patternFill patternType="gray125"/>
    </fill>
    <fill>
      <patternFill patternType="solid">
        <fgColor rgb="FF0B3D2C"/>
        <bgColor indexed="64"/>
      </patternFill>
    </fill>
    <fill>
      <patternFill patternType="solid">
        <fgColor rgb="FFE4EDE7"/>
        <bgColor indexed="64"/>
      </patternFill>
    </fill>
    <fill>
      <patternFill patternType="solid">
        <fgColor rgb="FFF2D06B"/>
        <bgColor indexed="64"/>
      </patternFill>
    </fill>
    <fill>
      <patternFill patternType="solid">
        <fgColor rgb="FFEDE3C8"/>
        <bgColor indexed="64"/>
      </patternFill>
    </fill>
    <fill>
      <patternFill patternType="solid">
        <fgColor rgb="FFF7EFD3"/>
        <bgColor indexed="64"/>
      </patternFill>
    </fill>
  </fills>
  <borders count="5">
    <border>
      <left/>
      <right/>
      <top/>
      <bottom/>
      <diagonal/>
    </border>
    <border>
      <left/>
      <right/>
      <top/>
      <bottom style="thin">
        <color auto="1"/>
      </bottom>
      <diagonal/>
    </border>
    <border>
      <left/>
      <right/>
      <top style="thin">
        <color auto="1"/>
      </top>
      <bottom/>
      <diagonal/>
    </border>
    <border>
      <left/>
      <right/>
      <top style="thin">
        <color rgb="FF000000"/>
      </top>
      <bottom/>
      <diagonal/>
    </border>
    <border>
      <left/>
      <right/>
      <top/>
      <bottom style="thick">
        <color rgb="FFC9A227"/>
      </bottom>
      <diagonal/>
    </border>
  </borders>
  <cellStyleXfs count="1">
    <xf numFmtId="0" fontId="0" fillId="0" borderId="0"/>
  </cellStyleXfs>
  <cellXfs count="134">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2" fontId="6" fillId="0" borderId="0" xfId="0" applyNumberFormat="1" applyFont="1"/>
    <xf numFmtId="173" fontId="6" fillId="0" borderId="0" xfId="0" applyNumberFormat="1" applyFont="1"/>
    <xf numFmtId="3" fontId="6" fillId="0" borderId="0" xfId="0" applyNumberFormat="1" applyFont="1"/>
    <xf numFmtId="175" fontId="6" fillId="0" borderId="0" xfId="0" applyNumberFormat="1" applyFont="1"/>
    <xf numFmtId="175" fontId="7" fillId="0" borderId="0" xfId="0" applyNumberFormat="1" applyFont="1"/>
    <xf numFmtId="2" fontId="7" fillId="0" borderId="0" xfId="0" applyNumberFormat="1" applyFont="1"/>
    <xf numFmtId="3" fontId="7" fillId="0" borderId="0" xfId="0" applyNumberFormat="1" applyFont="1"/>
    <xf numFmtId="0" fontId="5" fillId="0" borderId="0" xfId="0" applyFont="1" applyAlignment="1">
      <alignment horizontal="right"/>
    </xf>
    <xf numFmtId="173" fontId="0" fillId="0" borderId="0" xfId="0" applyNumberFormat="1"/>
    <xf numFmtId="173" fontId="5" fillId="0" borderId="0" xfId="0" applyNumberFormat="1" applyFont="1"/>
    <xf numFmtId="0" fontId="9" fillId="0" borderId="0" xfId="0" applyFont="1"/>
    <xf numFmtId="0" fontId="10" fillId="0" borderId="0" xfId="0" applyFont="1"/>
    <xf numFmtId="0" fontId="5" fillId="0" borderId="1" xfId="0" applyFont="1" applyBorder="1" applyAlignment="1">
      <alignment horizontal="left"/>
    </xf>
    <xf numFmtId="0" fontId="5" fillId="0" borderId="1" xfId="0" applyFont="1" applyBorder="1" applyAlignment="1">
      <alignment horizontal="right"/>
    </xf>
    <xf numFmtId="0" fontId="5" fillId="0" borderId="2" xfId="0" applyFont="1" applyBorder="1"/>
    <xf numFmtId="173" fontId="11" fillId="0" borderId="2" xfId="0" applyNumberFormat="1" applyFont="1" applyBorder="1"/>
    <xf numFmtId="173" fontId="5" fillId="0" borderId="2" xfId="0" applyNumberFormat="1" applyFont="1" applyBorder="1"/>
    <xf numFmtId="0" fontId="11" fillId="0" borderId="1" xfId="0" applyFont="1" applyBorder="1" applyAlignment="1">
      <alignment horizontal="right" wrapText="1"/>
    </xf>
    <xf numFmtId="1" fontId="5" fillId="0" borderId="0" xfId="0" applyNumberFormat="1" applyFont="1" applyAlignment="1">
      <alignment horizontal="right"/>
    </xf>
    <xf numFmtId="1" fontId="0" fillId="0" borderId="0" xfId="0" applyNumberFormat="1" applyAlignment="1">
      <alignment horizontal="right"/>
    </xf>
    <xf numFmtId="3" fontId="0" fillId="0" borderId="0" xfId="0" applyNumberFormat="1"/>
    <xf numFmtId="167" fontId="0" fillId="0" borderId="0" xfId="0" applyNumberFormat="1"/>
    <xf numFmtId="3" fontId="5" fillId="0" borderId="0" xfId="0" applyNumberFormat="1" applyFont="1"/>
    <xf numFmtId="2" fontId="0" fillId="0" borderId="0" xfId="0" applyNumberFormat="1"/>
    <xf numFmtId="0" fontId="0" fillId="0" borderId="0" xfId="0" applyFont="1"/>
    <xf numFmtId="175" fontId="0" fillId="0" borderId="0" xfId="0" applyNumberFormat="1"/>
    <xf numFmtId="0" fontId="1" fillId="0" borderId="0" xfId="0" applyFont="1"/>
    <xf numFmtId="173" fontId="1" fillId="0" borderId="0" xfId="0" applyNumberFormat="1" applyFont="1"/>
    <xf numFmtId="3" fontId="1" fillId="0" borderId="0" xfId="0" applyNumberFormat="1" applyFont="1"/>
    <xf numFmtId="175" fontId="1" fillId="0" borderId="0" xfId="0" applyNumberFormat="1" applyFont="1"/>
    <xf numFmtId="181" fontId="6" fillId="0" borderId="0" xfId="0" applyNumberFormat="1" applyFont="1"/>
    <xf numFmtId="169" fontId="0" fillId="0" borderId="0" xfId="0" applyNumberFormat="1"/>
    <xf numFmtId="0" fontId="14" fillId="0" borderId="0" xfId="0" applyFont="1"/>
    <xf numFmtId="0" fontId="5" fillId="0" borderId="1" xfId="0" applyFont="1" applyBorder="1"/>
    <xf numFmtId="0" fontId="5" fillId="0" borderId="1" xfId="0" applyFont="1" applyBorder="1" applyAlignment="1">
      <alignment horizontal="right" wrapText="1"/>
    </xf>
    <xf numFmtId="173" fontId="13" fillId="0" borderId="2" xfId="0" applyNumberFormat="1" applyFont="1" applyBorder="1"/>
    <xf numFmtId="181" fontId="5" fillId="0" borderId="2" xfId="0" applyNumberFormat="1" applyFont="1" applyBorder="1"/>
    <xf numFmtId="173" fontId="0" fillId="0" borderId="2" xfId="0" applyNumberFormat="1" applyBorder="1"/>
    <xf numFmtId="169" fontId="0" fillId="0" borderId="2" xfId="0" applyNumberFormat="1" applyBorder="1"/>
    <xf numFmtId="173" fontId="0" fillId="0" borderId="0" xfId="0" applyNumberFormat="1" applyAlignment="1">
      <alignment horizontal="right"/>
    </xf>
    <xf numFmtId="173" fontId="5" fillId="0" borderId="0" xfId="0" applyNumberFormat="1" applyFont="1" applyAlignment="1">
      <alignment horizontal="right"/>
    </xf>
    <xf numFmtId="181" fontId="5" fillId="0" borderId="0" xfId="0" applyNumberFormat="1" applyFont="1" applyAlignment="1">
      <alignment horizontal="right"/>
    </xf>
    <xf numFmtId="3" fontId="0" fillId="0" borderId="0" xfId="0" applyNumberFormat="1" applyAlignment="1">
      <alignment horizontal="right"/>
    </xf>
    <xf numFmtId="0" fontId="0" fillId="0" borderId="0" xfId="0" applyAlignment="1">
      <alignment wrapText="1"/>
    </xf>
    <xf numFmtId="3" fontId="13" fillId="0" borderId="0" xfId="0" applyNumberFormat="1" applyFont="1" applyAlignment="1">
      <alignment horizontal="right"/>
    </xf>
    <xf numFmtId="173" fontId="13" fillId="0" borderId="0" xfId="0" applyNumberFormat="1" applyFont="1" applyAlignment="1">
      <alignment horizontal="right"/>
    </xf>
    <xf numFmtId="0" fontId="7" fillId="0" borderId="0" xfId="0" applyFont="1" applyFill="1" applyAlignment="1">
      <alignment wrapText="1"/>
    </xf>
    <xf numFmtId="0" fontId="5" fillId="0" borderId="0" xfId="0" applyFont="1" applyFill="1" applyBorder="1" applyAlignment="1">
      <alignment horizontal="right"/>
    </xf>
    <xf numFmtId="184" fontId="13" fillId="0" borderId="0" xfId="0" applyNumberFormat="1" applyFont="1" applyAlignment="1">
      <alignment horizontal="right"/>
    </xf>
    <xf numFmtId="185" fontId="13" fillId="0" borderId="0" xfId="0" applyNumberFormat="1" applyFont="1" applyAlignment="1">
      <alignment horizontal="right"/>
    </xf>
    <xf numFmtId="184" fontId="6" fillId="0" borderId="0" xfId="0" applyNumberFormat="1" applyFont="1"/>
    <xf numFmtId="186" fontId="0" fillId="0" borderId="0" xfId="0" applyNumberFormat="1"/>
    <xf numFmtId="184" fontId="0" fillId="0" borderId="0" xfId="0" applyNumberFormat="1"/>
    <xf numFmtId="184" fontId="5" fillId="0" borderId="0" xfId="0" applyNumberFormat="1" applyFont="1"/>
    <xf numFmtId="184" fontId="1" fillId="0" borderId="0" xfId="0" applyNumberFormat="1" applyFont="1" applyAlignment="1">
      <alignment horizontal="right"/>
    </xf>
    <xf numFmtId="184" fontId="5" fillId="0" borderId="0" xfId="0" applyNumberFormat="1" applyFont="1" applyAlignment="1">
      <alignment horizontal="right"/>
    </xf>
    <xf numFmtId="185" fontId="5" fillId="0" borderId="0" xfId="0" applyNumberFormat="1" applyFont="1" applyAlignment="1">
      <alignment horizontal="right"/>
    </xf>
    <xf numFmtId="185" fontId="0" fillId="0" borderId="0" xfId="0" applyNumberFormat="1" applyAlignment="1">
      <alignment horizontal="right"/>
    </xf>
    <xf numFmtId="186" fontId="13" fillId="0" borderId="2" xfId="0" applyNumberFormat="1" applyFont="1" applyBorder="1"/>
    <xf numFmtId="184" fontId="13" fillId="0" borderId="2" xfId="0" applyNumberFormat="1" applyFont="1" applyBorder="1"/>
    <xf numFmtId="184" fontId="1" fillId="0" borderId="0" xfId="0" applyNumberFormat="1" applyFont="1"/>
    <xf numFmtId="184" fontId="13" fillId="0" borderId="0" xfId="0" applyNumberFormat="1" applyFont="1"/>
    <xf numFmtId="185" fontId="0" fillId="0" borderId="0" xfId="0" applyNumberFormat="1"/>
    <xf numFmtId="185" fontId="5" fillId="0" borderId="0" xfId="0" applyNumberFormat="1" applyFont="1"/>
    <xf numFmtId="184" fontId="0" fillId="0" borderId="0" xfId="0" applyNumberFormat="1" applyAlignment="1">
      <alignment horizontal="right"/>
    </xf>
    <xf numFmtId="184" fontId="0" fillId="0" borderId="2" xfId="0" applyNumberFormat="1" applyBorder="1"/>
    <xf numFmtId="0" fontId="7" fillId="0" borderId="0" xfId="0" applyFont="1" applyFill="1"/>
    <xf numFmtId="173" fontId="6" fillId="0" borderId="0" xfId="0" applyNumberFormat="1" applyFont="1" applyFill="1"/>
    <xf numFmtId="0" fontId="0" fillId="0" borderId="0" xfId="0" applyFill="1"/>
    <xf numFmtId="0" fontId="10" fillId="0" borderId="0" xfId="0" applyFont="1" applyFill="1"/>
    <xf numFmtId="184" fontId="7" fillId="0" borderId="0" xfId="0" applyNumberFormat="1" applyFont="1"/>
    <xf numFmtId="188" fontId="1" fillId="0" borderId="0" xfId="0" applyNumberFormat="1" applyFont="1"/>
    <xf numFmtId="190" fontId="1" fillId="0" borderId="0" xfId="0" applyNumberFormat="1" applyFont="1"/>
    <xf numFmtId="190" fontId="5" fillId="0" borderId="2" xfId="0" applyNumberFormat="1" applyFont="1" applyBorder="1"/>
    <xf numFmtId="1" fontId="6" fillId="0" borderId="0" xfId="0" applyNumberFormat="1" applyFont="1"/>
    <xf numFmtId="0" fontId="16" fillId="0" borderId="0" xfId="0" applyFont="1"/>
    <xf numFmtId="0" fontId="17" fillId="0" borderId="0" xfId="0" applyFont="1"/>
    <xf numFmtId="0" fontId="19" fillId="0" borderId="0" xfId="0" applyFont="1"/>
    <xf numFmtId="186" fontId="20" fillId="0" borderId="0" xfId="0" applyNumberFormat="1" applyFont="1"/>
    <xf numFmtId="0" fontId="21" fillId="0" borderId="0" xfId="0" applyFont="1"/>
    <xf numFmtId="0" fontId="22" fillId="0" borderId="0" xfId="0" applyFont="1"/>
    <xf numFmtId="3" fontId="23" fillId="0" borderId="0" xfId="0" applyNumberFormat="1" applyFont="1"/>
    <xf numFmtId="0" fontId="19" fillId="0" borderId="0" xfId="0" applyFont="1" applyFill="1" applyBorder="1" applyAlignment="1">
      <alignment horizontal="right"/>
    </xf>
    <xf numFmtId="0" fontId="19" fillId="0" borderId="0" xfId="0" applyFont="1" applyFill="1" applyBorder="1"/>
    <xf numFmtId="0" fontId="19" fillId="0" borderId="3" xfId="0" applyFont="1" applyFill="1" applyBorder="1"/>
    <xf numFmtId="0" fontId="19" fillId="0" borderId="0" xfId="0" applyFont="1" applyBorder="1"/>
    <xf numFmtId="181" fontId="24" fillId="0" borderId="0" xfId="0" applyNumberFormat="1" applyFont="1"/>
    <xf numFmtId="181" fontId="24" fillId="0" borderId="3" xfId="0" applyNumberFormat="1" applyFont="1" applyBorder="1"/>
    <xf numFmtId="0" fontId="19" fillId="0" borderId="0" xfId="0" applyFont="1" applyBorder="1" applyAlignment="1">
      <alignment horizontal="right"/>
    </xf>
    <xf numFmtId="3" fontId="18" fillId="0" borderId="0" xfId="0" applyNumberFormat="1" applyFont="1"/>
    <xf numFmtId="3" fontId="18" fillId="0" borderId="3" xfId="0" applyNumberFormat="1" applyFont="1" applyBorder="1"/>
    <xf numFmtId="184" fontId="18" fillId="0" borderId="0" xfId="0" applyNumberFormat="1" applyFont="1"/>
    <xf numFmtId="184" fontId="18" fillId="0" borderId="3" xfId="0" applyNumberFormat="1" applyFont="1" applyBorder="1"/>
    <xf numFmtId="173" fontId="18" fillId="0" borderId="0" xfId="0" applyNumberFormat="1" applyFont="1"/>
    <xf numFmtId="173" fontId="18" fillId="0" borderId="3" xfId="0" applyNumberFormat="1" applyFont="1" applyBorder="1"/>
    <xf numFmtId="3" fontId="20" fillId="0" borderId="0" xfId="0" applyNumberFormat="1" applyFont="1"/>
    <xf numFmtId="191" fontId="18" fillId="0" borderId="0" xfId="0" applyNumberFormat="1" applyFont="1"/>
    <xf numFmtId="1" fontId="24" fillId="0" borderId="3" xfId="0" applyNumberFormat="1" applyFont="1" applyBorder="1" applyAlignment="1">
      <alignment horizontal="right"/>
    </xf>
    <xf numFmtId="0" fontId="25" fillId="0" borderId="3" xfId="0" applyFont="1" applyBorder="1" applyAlignment="1">
      <alignment horizontal="right"/>
    </xf>
    <xf numFmtId="0" fontId="12" fillId="2" borderId="0" xfId="0" applyFont="1" applyFill="1"/>
    <xf numFmtId="0" fontId="12" fillId="2" borderId="0" xfId="0" applyFont="1" applyFill="1"/>
    <xf numFmtId="0" fontId="5" fillId="2" borderId="0" xfId="0" applyFont="1" applyFill="1" applyAlignment="1">
      <alignment horizontal="right"/>
    </xf>
    <xf numFmtId="0" fontId="5" fillId="3" borderId="0" xfId="0" applyFont="1" applyFill="1"/>
    <xf numFmtId="0" fontId="0" fillId="3" borderId="0" xfId="0" applyFill="1"/>
    <xf numFmtId="0" fontId="10" fillId="3" borderId="0" xfId="0" applyFont="1" applyFill="1"/>
    <xf numFmtId="173" fontId="6" fillId="3" borderId="0" xfId="0" applyNumberFormat="1" applyFont="1" applyFill="1"/>
    <xf numFmtId="176" fontId="6" fillId="4" borderId="0" xfId="0" applyNumberFormat="1" applyFont="1" applyFill="1"/>
    <xf numFmtId="0" fontId="10" fillId="4" borderId="0" xfId="0" applyFont="1" applyFill="1"/>
    <xf numFmtId="0" fontId="7" fillId="3" borderId="0" xfId="0" applyFont="1" applyFill="1"/>
    <xf numFmtId="0" fontId="5" fillId="5" borderId="0" xfId="0" applyFont="1" applyFill="1" applyAlignment="1">
      <alignment horizontal="right"/>
    </xf>
    <xf numFmtId="1" fontId="0" fillId="5" borderId="0" xfId="0" applyNumberFormat="1" applyFill="1" applyAlignment="1">
      <alignment horizontal="right"/>
    </xf>
    <xf numFmtId="0" fontId="0" fillId="2" borderId="0" xfId="0" applyFill="1"/>
    <xf numFmtId="0" fontId="15" fillId="2" borderId="0" xfId="0" applyFont="1" applyFill="1"/>
    <xf numFmtId="0" fontId="19" fillId="4" borderId="0" xfId="0" applyFont="1" applyFill="1" applyBorder="1"/>
    <xf numFmtId="181" fontId="18" fillId="4" borderId="0" xfId="0" applyNumberFormat="1" applyFont="1" applyFill="1"/>
    <xf numFmtId="3" fontId="18" fillId="4" borderId="3" xfId="0" applyNumberFormat="1" applyFont="1" applyFill="1" applyBorder="1"/>
    <xf numFmtId="184" fontId="18" fillId="4" borderId="3" xfId="0" applyNumberFormat="1" applyFont="1" applyFill="1" applyBorder="1"/>
    <xf numFmtId="173" fontId="18" fillId="4" borderId="3" xfId="0" applyNumberFormat="1" applyFont="1" applyFill="1" applyBorder="1"/>
    <xf numFmtId="0" fontId="19" fillId="3" borderId="3" xfId="0" applyFont="1" applyFill="1" applyBorder="1"/>
    <xf numFmtId="0" fontId="0" fillId="3" borderId="3" xfId="0" applyFill="1" applyBorder="1"/>
    <xf numFmtId="173" fontId="19" fillId="3" borderId="3" xfId="0" applyNumberFormat="1" applyFont="1" applyFill="1" applyBorder="1"/>
    <xf numFmtId="0" fontId="25" fillId="3" borderId="3" xfId="0" applyFont="1" applyFill="1" applyBorder="1" applyAlignment="1">
      <alignment horizontal="right"/>
    </xf>
    <xf numFmtId="0" fontId="19" fillId="3" borderId="0" xfId="0" applyFont="1" applyFill="1" applyBorder="1"/>
    <xf numFmtId="0" fontId="26" fillId="2" borderId="0" xfId="0" applyFont="1" applyFill="1"/>
    <xf numFmtId="0" fontId="27" fillId="2" borderId="4" xfId="0" applyFont="1" applyFill="1" applyBorder="1"/>
    <xf numFmtId="0" fontId="0" fillId="2" borderId="4" xfId="0" applyFill="1" applyBorder="1"/>
    <xf numFmtId="0" fontId="5" fillId="6" borderId="0" xfId="0" applyFont="1" applyFill="1"/>
    <xf numFmtId="184" fontId="13" fillId="6" borderId="0" xfId="0" applyNumberFormat="1" applyFont="1" applyFill="1" applyAlignment="1">
      <alignment horizontal="right"/>
    </xf>
    <xf numFmtId="185" fontId="13" fillId="6" borderId="0" xfId="0" applyNumberFormat="1" applyFont="1" applyFill="1" applyAlignment="1">
      <alignment horizontal="righ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D6"/>
      <rgbColor rgb="FFF0EFEA"/>
      <rgbColor rgb="FF660066"/>
      <rgbColor rgb="FFFF8080"/>
      <rgbColor rgb="FF0066CC"/>
      <rgbColor rgb="FFD9D6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C9A24B"/>
      <rgbColor rgb="FF2E4034"/>
      <rgbColor rgb="FF339966"/>
      <rgbColor rgb="FF003300"/>
      <rgbColor rgb="FF1B2A1F"/>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ACDF4A-66E0-8D43-AA4C-778BD602DF1B}">
  <we:reference id="wa200009404" version="1.0.0.8" store="en-US" storeType="OMEX"/>
  <we:alternateReferences>
    <we:reference id="WA200009404" version="1.0.0.8" store="" storeType="OMEX"/>
  </we:alternateReferences>
  <we:properties>
    <we:property name="claude.fileId" value="&quot;0c52c62a-bf64-4b3c-b32b-801b57ea0e9f&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9"/>
  <sheetViews>
    <sheetView showGridLines="0" zoomScaleNormal="100" workbookViewId="0">
      <selection activeCell="B37" sqref="B37"/>
    </sheetView>
  </sheetViews>
  <sheetFormatPr baseColWidth="10" defaultColWidth="8.6640625" defaultRowHeight="15" x14ac:dyDescent="0.2"/>
  <cols>
    <col min="1" max="1" width="3" customWidth="1"/>
    <col min="2" max="2" width="120" customWidth="1"/>
    <col min="3" max="3" width="21.6640625" customWidth="1"/>
    <col min="4" max="4" width="11.83203125" bestFit="1" customWidth="1"/>
  </cols>
  <sheetData>
    <row r="2" spans="2:4" ht="21" x14ac:dyDescent="0.25">
      <c r="B2" s="128" t="s">
        <v>211</v>
      </c>
      <c r="C2" s="116"/>
      <c r="D2" s="116"/>
    </row>
    <row r="3" spans="2:4" ht="16" thickBot="1" x14ac:dyDescent="0.25">
      <c r="B3" s="129" t="s">
        <v>157</v>
      </c>
      <c r="C3" s="130"/>
      <c r="D3" s="130"/>
    </row>
    <row r="4" spans="2:4" ht="16" thickTop="1" x14ac:dyDescent="0.2"/>
    <row r="5" spans="2:4" x14ac:dyDescent="0.2">
      <c r="B5" s="104" t="s">
        <v>116</v>
      </c>
      <c r="C5" s="104"/>
    </row>
    <row r="6" spans="2:4" ht="32" x14ac:dyDescent="0.2">
      <c r="B6" s="48" t="s">
        <v>158</v>
      </c>
    </row>
    <row r="7" spans="2:4" ht="32" x14ac:dyDescent="0.2">
      <c r="B7" s="48" t="s">
        <v>149</v>
      </c>
    </row>
    <row r="9" spans="2:4" x14ac:dyDescent="0.2">
      <c r="B9" s="104" t="s">
        <v>117</v>
      </c>
      <c r="C9" s="104"/>
    </row>
    <row r="10" spans="2:4" x14ac:dyDescent="0.2">
      <c r="B10" s="4" t="s">
        <v>118</v>
      </c>
    </row>
    <row r="11" spans="2:4" ht="16" x14ac:dyDescent="0.2">
      <c r="B11" s="48" t="s">
        <v>119</v>
      </c>
    </row>
    <row r="13" spans="2:4" x14ac:dyDescent="0.2">
      <c r="B13" s="104" t="s">
        <v>120</v>
      </c>
      <c r="C13" s="104"/>
    </row>
    <row r="14" spans="2:4" ht="16" x14ac:dyDescent="0.2">
      <c r="B14" s="48" t="s">
        <v>121</v>
      </c>
    </row>
    <row r="15" spans="2:4" ht="32" x14ac:dyDescent="0.2">
      <c r="B15" s="48" t="s">
        <v>148</v>
      </c>
    </row>
    <row r="16" spans="2:4" ht="48" x14ac:dyDescent="0.2">
      <c r="B16" s="48" t="s">
        <v>195</v>
      </c>
    </row>
    <row r="17" spans="2:4" ht="32" x14ac:dyDescent="0.2">
      <c r="B17" s="51" t="s">
        <v>132</v>
      </c>
    </row>
    <row r="19" spans="2:4" x14ac:dyDescent="0.2">
      <c r="B19" s="105" t="s">
        <v>122</v>
      </c>
      <c r="C19" s="106" t="s">
        <v>138</v>
      </c>
      <c r="D19" s="12" t="s">
        <v>139</v>
      </c>
    </row>
    <row r="20" spans="2:4" x14ac:dyDescent="0.2">
      <c r="B20" t="s">
        <v>123</v>
      </c>
      <c r="C20" s="49">
        <f>'Insurance ROI'!F27</f>
        <v>1907261.6342254765</v>
      </c>
    </row>
    <row r="21" spans="2:4" x14ac:dyDescent="0.2">
      <c r="B21" t="s">
        <v>124</v>
      </c>
      <c r="C21" s="53">
        <f>'Insurance ROI'!F29</f>
        <v>7781627.4676399436</v>
      </c>
      <c r="D21" s="54">
        <f>C21*Assumptions!$C$6</f>
        <v>143960108.15133896</v>
      </c>
    </row>
    <row r="22" spans="2:4" x14ac:dyDescent="0.2">
      <c r="B22" t="s">
        <v>143</v>
      </c>
      <c r="C22" s="53">
        <f>'Insurance ROI'!C7</f>
        <v>1556325.4935279889</v>
      </c>
      <c r="D22" s="54">
        <f>C22*Assumptions!$C$6</f>
        <v>28792021.630267795</v>
      </c>
    </row>
    <row r="23" spans="2:4" x14ac:dyDescent="0.2">
      <c r="B23" t="s">
        <v>145</v>
      </c>
      <c r="C23" s="53">
        <f>'Insurance ROI'!C8</f>
        <v>6225301.9741119547</v>
      </c>
      <c r="D23" s="54">
        <f>C23*Assumptions!$C$6</f>
        <v>115168086.52107117</v>
      </c>
    </row>
    <row r="24" spans="2:4" x14ac:dyDescent="0.2">
      <c r="B24" t="s">
        <v>125</v>
      </c>
      <c r="C24" s="53">
        <f>'Insurance ROI'!F33</f>
        <v>2479440.1244931198</v>
      </c>
      <c r="D24" s="54">
        <f>C24*Assumptions!$C$6</f>
        <v>45869642.303122714</v>
      </c>
    </row>
    <row r="25" spans="2:4" x14ac:dyDescent="0.2">
      <c r="B25" s="131" t="s">
        <v>83</v>
      </c>
      <c r="C25" s="132">
        <f>'Insurance ROI'!F34</f>
        <v>3745861.8496188349</v>
      </c>
      <c r="D25" s="133">
        <f>C25*Assumptions!$C$6</f>
        <v>69298444.217948452</v>
      </c>
    </row>
    <row r="26" spans="2:4" x14ac:dyDescent="0.2">
      <c r="B26" t="s">
        <v>42</v>
      </c>
      <c r="C26" s="50">
        <f>'Insurance ROI'!F35</f>
        <v>0.31862745098039225</v>
      </c>
    </row>
    <row r="27" spans="2:4" x14ac:dyDescent="0.2">
      <c r="B27" t="s">
        <v>85</v>
      </c>
      <c r="C27" s="50">
        <f>'Insurance ROI'!F36</f>
        <v>0.48137254901960774</v>
      </c>
    </row>
    <row r="28" spans="2:4" x14ac:dyDescent="0.2">
      <c r="B28" t="s">
        <v>73</v>
      </c>
      <c r="C28" s="53">
        <f>'Insurance ROI'!C40</f>
        <v>100000</v>
      </c>
      <c r="D28" s="54">
        <f>C28*Assumptions!$C$6</f>
        <v>1850000</v>
      </c>
    </row>
    <row r="30" spans="2:4" x14ac:dyDescent="0.2">
      <c r="B30" s="104" t="s">
        <v>126</v>
      </c>
      <c r="C30" s="104"/>
    </row>
    <row r="31" spans="2:4" x14ac:dyDescent="0.2">
      <c r="B31" t="s">
        <v>127</v>
      </c>
    </row>
    <row r="32" spans="2:4" x14ac:dyDescent="0.2">
      <c r="B32" t="s">
        <v>128</v>
      </c>
    </row>
    <row r="33" spans="2:3" x14ac:dyDescent="0.2">
      <c r="B33" t="s">
        <v>129</v>
      </c>
    </row>
    <row r="34" spans="2:3" x14ac:dyDescent="0.2">
      <c r="B34" t="s">
        <v>212</v>
      </c>
    </row>
    <row r="36" spans="2:3" x14ac:dyDescent="0.2">
      <c r="B36" s="104" t="s">
        <v>130</v>
      </c>
      <c r="C36" s="104"/>
    </row>
    <row r="37" spans="2:3" x14ac:dyDescent="0.2">
      <c r="B37" t="s">
        <v>131</v>
      </c>
    </row>
    <row r="38" spans="2:3" ht="32" x14ac:dyDescent="0.2">
      <c r="B38" s="48" t="s">
        <v>159</v>
      </c>
    </row>
    <row r="39" spans="2:3" x14ac:dyDescent="0.2">
      <c r="B39" t="s">
        <v>209</v>
      </c>
    </row>
  </sheetData>
  <mergeCells count="5">
    <mergeCell ref="B5:C5"/>
    <mergeCell ref="B9:C9"/>
    <mergeCell ref="B13:C13"/>
    <mergeCell ref="B30:C30"/>
    <mergeCell ref="B36:C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41"/>
  <sheetViews>
    <sheetView showGridLines="0" topLeftCell="B7" zoomScale="143" zoomScaleNormal="143" workbookViewId="0">
      <selection activeCell="C20" sqref="C20"/>
    </sheetView>
  </sheetViews>
  <sheetFormatPr baseColWidth="10" defaultColWidth="8.6640625" defaultRowHeight="15" x14ac:dyDescent="0.2"/>
  <cols>
    <col min="1" max="1" width="2" customWidth="1"/>
    <col min="2" max="2" width="43.33203125" customWidth="1"/>
    <col min="3" max="8" width="14.6640625" customWidth="1"/>
  </cols>
  <sheetData>
    <row r="2" spans="2:5" ht="30" customHeight="1" x14ac:dyDescent="0.25">
      <c r="B2" s="1" t="s">
        <v>160</v>
      </c>
    </row>
    <row r="3" spans="2:5" x14ac:dyDescent="0.2">
      <c r="B3" s="3" t="s">
        <v>6</v>
      </c>
    </row>
    <row r="5" spans="2:5" ht="19.5" customHeight="1" x14ac:dyDescent="0.2">
      <c r="B5" s="107" t="s">
        <v>7</v>
      </c>
      <c r="C5" s="108"/>
      <c r="D5" s="108"/>
      <c r="E5" s="108"/>
    </row>
    <row r="6" spans="2:5" ht="15" customHeight="1" x14ac:dyDescent="0.2">
      <c r="B6" t="s">
        <v>0</v>
      </c>
      <c r="C6" s="5">
        <v>18.5</v>
      </c>
      <c r="E6" s="16" t="s">
        <v>1</v>
      </c>
    </row>
    <row r="7" spans="2:5" ht="15" customHeight="1" x14ac:dyDescent="0.2">
      <c r="B7" t="s">
        <v>8</v>
      </c>
      <c r="C7" s="6">
        <v>0.24</v>
      </c>
      <c r="E7" s="16" t="s">
        <v>9</v>
      </c>
    </row>
    <row r="8" spans="2:5" ht="15" customHeight="1" x14ac:dyDescent="0.2">
      <c r="B8" t="s">
        <v>10</v>
      </c>
      <c r="C8" s="6">
        <v>1</v>
      </c>
      <c r="E8" s="16" t="s">
        <v>11</v>
      </c>
    </row>
    <row r="9" spans="2:5" ht="15" customHeight="1" x14ac:dyDescent="0.2">
      <c r="B9" s="71" t="s">
        <v>141</v>
      </c>
      <c r="C9" s="72">
        <v>0.2</v>
      </c>
      <c r="D9" s="73"/>
      <c r="E9" s="74" t="s">
        <v>142</v>
      </c>
    </row>
    <row r="10" spans="2:5" ht="15" customHeight="1" x14ac:dyDescent="0.2">
      <c r="E10" s="16"/>
    </row>
    <row r="11" spans="2:5" ht="15" customHeight="1" x14ac:dyDescent="0.2">
      <c r="B11" s="107" t="s">
        <v>12</v>
      </c>
      <c r="C11" s="108"/>
      <c r="D11" s="108"/>
      <c r="E11" s="109"/>
    </row>
    <row r="12" spans="2:5" x14ac:dyDescent="0.2">
      <c r="B12" t="s">
        <v>13</v>
      </c>
      <c r="C12" s="7">
        <v>2000</v>
      </c>
      <c r="E12" s="16" t="s">
        <v>14</v>
      </c>
    </row>
    <row r="13" spans="2:5" ht="19.5" customHeight="1" x14ac:dyDescent="0.2">
      <c r="B13" t="s">
        <v>15</v>
      </c>
      <c r="C13" s="6">
        <v>0.105</v>
      </c>
      <c r="E13" s="16" t="s">
        <v>16</v>
      </c>
    </row>
    <row r="14" spans="2:5" ht="15" customHeight="1" x14ac:dyDescent="0.2">
      <c r="B14" t="s">
        <v>17</v>
      </c>
      <c r="C14" s="6">
        <v>0.08</v>
      </c>
      <c r="E14" s="16" t="s">
        <v>18</v>
      </c>
    </row>
    <row r="15" spans="2:5" ht="15" customHeight="1" x14ac:dyDescent="0.2">
      <c r="B15" t="s">
        <v>19</v>
      </c>
      <c r="C15" s="6">
        <v>7.0000000000000007E-2</v>
      </c>
      <c r="E15" s="16" t="s">
        <v>2</v>
      </c>
    </row>
    <row r="16" spans="2:5" ht="15" customHeight="1" x14ac:dyDescent="0.2">
      <c r="B16" t="s">
        <v>3</v>
      </c>
      <c r="C16" s="6">
        <v>0.04</v>
      </c>
      <c r="E16" s="16" t="s">
        <v>4</v>
      </c>
    </row>
    <row r="17" spans="2:8" ht="15" customHeight="1" x14ac:dyDescent="0.2">
      <c r="B17" s="107" t="s">
        <v>161</v>
      </c>
      <c r="C17" s="110"/>
      <c r="D17" s="108"/>
      <c r="E17" s="109"/>
      <c r="F17" s="108"/>
      <c r="G17" s="108"/>
      <c r="H17" s="108"/>
    </row>
    <row r="18" spans="2:8" ht="15" customHeight="1" x14ac:dyDescent="0.2">
      <c r="B18" s="29" t="s">
        <v>150</v>
      </c>
      <c r="C18" s="7">
        <v>200000</v>
      </c>
      <c r="E18" s="16" t="s">
        <v>162</v>
      </c>
    </row>
    <row r="19" spans="2:8" ht="15" customHeight="1" x14ac:dyDescent="0.2">
      <c r="B19" s="29" t="s">
        <v>151</v>
      </c>
      <c r="C19" s="79">
        <v>3</v>
      </c>
      <c r="E19" s="16" t="s">
        <v>152</v>
      </c>
    </row>
    <row r="20" spans="2:8" ht="15" customHeight="1" x14ac:dyDescent="0.2">
      <c r="B20" s="29" t="s">
        <v>153</v>
      </c>
      <c r="C20" s="11">
        <f>(36-C19+1)*(36-C19+2)/2</f>
        <v>595</v>
      </c>
      <c r="E20" s="16" t="s">
        <v>154</v>
      </c>
    </row>
    <row r="21" spans="2:8" ht="15" customHeight="1" x14ac:dyDescent="0.2">
      <c r="E21" s="16"/>
    </row>
    <row r="22" spans="2:8" ht="15" customHeight="1" x14ac:dyDescent="0.2">
      <c r="B22" s="107" t="s">
        <v>20</v>
      </c>
      <c r="C22" s="108"/>
      <c r="D22" s="108"/>
      <c r="E22" s="109"/>
    </row>
    <row r="23" spans="2:8" x14ac:dyDescent="0.2">
      <c r="B23" t="s">
        <v>21</v>
      </c>
      <c r="C23" s="8">
        <v>4</v>
      </c>
      <c r="E23" s="16" t="s">
        <v>22</v>
      </c>
    </row>
    <row r="24" spans="2:8" ht="19.5" customHeight="1" x14ac:dyDescent="0.2">
      <c r="B24" t="s">
        <v>23</v>
      </c>
      <c r="C24" s="8">
        <v>4</v>
      </c>
      <c r="E24" s="16" t="s">
        <v>24</v>
      </c>
    </row>
    <row r="25" spans="2:8" ht="15" customHeight="1" x14ac:dyDescent="0.2">
      <c r="B25" t="s">
        <v>25</v>
      </c>
      <c r="C25" s="9">
        <f>C23*C24</f>
        <v>16</v>
      </c>
      <c r="E25" s="16" t="s">
        <v>26</v>
      </c>
    </row>
    <row r="26" spans="2:8" ht="15" customHeight="1" x14ac:dyDescent="0.2">
      <c r="B26" t="s">
        <v>27</v>
      </c>
      <c r="C26" s="6">
        <v>6.25E-2</v>
      </c>
      <c r="E26" s="16" t="s">
        <v>163</v>
      </c>
    </row>
    <row r="27" spans="2:8" ht="15" customHeight="1" x14ac:dyDescent="0.2">
      <c r="B27" t="s">
        <v>28</v>
      </c>
      <c r="C27" s="10">
        <f>C25*C26</f>
        <v>1</v>
      </c>
      <c r="E27" s="16" t="s">
        <v>29</v>
      </c>
    </row>
    <row r="28" spans="2:8" ht="15" customHeight="1" x14ac:dyDescent="0.2">
      <c r="E28" s="16"/>
    </row>
    <row r="29" spans="2:8" ht="15" customHeight="1" x14ac:dyDescent="0.2">
      <c r="B29" s="107" t="s">
        <v>30</v>
      </c>
      <c r="C29" s="108"/>
      <c r="D29" s="108"/>
      <c r="E29" s="109"/>
    </row>
    <row r="30" spans="2:8" x14ac:dyDescent="0.2">
      <c r="B30" t="s">
        <v>31</v>
      </c>
      <c r="C30" s="111">
        <v>8.0000000000000007E-5</v>
      </c>
      <c r="E30" s="112" t="s">
        <v>32</v>
      </c>
    </row>
    <row r="31" spans="2:8" ht="19.5" customHeight="1" x14ac:dyDescent="0.2">
      <c r="B31" t="s">
        <v>34</v>
      </c>
      <c r="C31" s="11">
        <f>1/C30</f>
        <v>12499.999999999998</v>
      </c>
      <c r="E31" s="16" t="s">
        <v>33</v>
      </c>
    </row>
    <row r="32" spans="2:8" ht="15" customHeight="1" x14ac:dyDescent="0.2">
      <c r="E32" s="16"/>
    </row>
    <row r="33" spans="2:8" ht="15" customHeight="1" x14ac:dyDescent="0.2">
      <c r="B33" s="107" t="s">
        <v>35</v>
      </c>
      <c r="C33" s="108"/>
      <c r="D33" s="108"/>
      <c r="E33" s="113"/>
      <c r="F33" s="113"/>
      <c r="G33" s="113"/>
      <c r="H33" s="113"/>
    </row>
    <row r="34" spans="2:8" ht="15" customHeight="1" x14ac:dyDescent="0.2">
      <c r="B34" s="17" t="s">
        <v>36</v>
      </c>
      <c r="C34" s="18" t="s">
        <v>37</v>
      </c>
      <c r="D34" s="18" t="s">
        <v>38</v>
      </c>
      <c r="E34" s="22" t="s">
        <v>39</v>
      </c>
      <c r="F34" s="22" t="s">
        <v>40</v>
      </c>
      <c r="G34" s="22" t="s">
        <v>41</v>
      </c>
      <c r="H34" s="22" t="s">
        <v>42</v>
      </c>
    </row>
    <row r="35" spans="2:8" ht="15" customHeight="1" x14ac:dyDescent="0.2">
      <c r="B35" t="s">
        <v>43</v>
      </c>
      <c r="C35" s="55">
        <v>1</v>
      </c>
      <c r="D35" s="55">
        <v>500</v>
      </c>
      <c r="E35" s="6">
        <v>0.25</v>
      </c>
      <c r="F35" s="56">
        <f>D35*$C$30*$C$8</f>
        <v>0.04</v>
      </c>
      <c r="G35" s="56">
        <f>C35*$C$7</f>
        <v>0.24</v>
      </c>
      <c r="H35" s="13">
        <f>F35/G35</f>
        <v>0.16666666666666669</v>
      </c>
    </row>
    <row r="36" spans="2:8" ht="15" customHeight="1" x14ac:dyDescent="0.2">
      <c r="B36" t="s">
        <v>44</v>
      </c>
      <c r="C36" s="55">
        <v>5</v>
      </c>
      <c r="D36" s="55">
        <v>2500</v>
      </c>
      <c r="E36" s="6">
        <v>0.25</v>
      </c>
      <c r="F36" s="56">
        <f>D36*$C$30*$C$8</f>
        <v>0.2</v>
      </c>
      <c r="G36" s="56">
        <f t="shared" ref="G36:G39" si="0">C36*$C$7</f>
        <v>1.2</v>
      </c>
      <c r="H36" s="13">
        <f t="shared" ref="H36:H39" si="1">F36/G36</f>
        <v>0.16666666666666669</v>
      </c>
    </row>
    <row r="37" spans="2:8" x14ac:dyDescent="0.2">
      <c r="B37" t="s">
        <v>45</v>
      </c>
      <c r="C37" s="55">
        <v>10</v>
      </c>
      <c r="D37" s="55">
        <v>10000</v>
      </c>
      <c r="E37" s="6">
        <v>0.3</v>
      </c>
      <c r="F37" s="56">
        <f>D37*$C$30*$C$8</f>
        <v>0.8</v>
      </c>
      <c r="G37" s="56">
        <f t="shared" si="0"/>
        <v>2.4</v>
      </c>
      <c r="H37" s="13">
        <f t="shared" si="1"/>
        <v>0.33333333333333337</v>
      </c>
    </row>
    <row r="38" spans="2:8" x14ac:dyDescent="0.2">
      <c r="B38" t="s">
        <v>46</v>
      </c>
      <c r="C38" s="55">
        <v>50</v>
      </c>
      <c r="D38" s="55">
        <v>50000</v>
      </c>
      <c r="E38" s="6">
        <v>0.15</v>
      </c>
      <c r="F38" s="56">
        <f>D38*$C$30*$C$8</f>
        <v>4</v>
      </c>
      <c r="G38" s="56">
        <f t="shared" si="0"/>
        <v>12</v>
      </c>
      <c r="H38" s="13">
        <f t="shared" si="1"/>
        <v>0.33333333333333331</v>
      </c>
    </row>
    <row r="39" spans="2:8" x14ac:dyDescent="0.2">
      <c r="B39" t="s">
        <v>47</v>
      </c>
      <c r="C39" s="55">
        <v>100</v>
      </c>
      <c r="D39" s="55">
        <v>100000</v>
      </c>
      <c r="E39" s="6">
        <v>0.05</v>
      </c>
      <c r="F39" s="56">
        <f>D39*$C$30*$C$8</f>
        <v>8</v>
      </c>
      <c r="G39" s="56">
        <f t="shared" si="0"/>
        <v>24</v>
      </c>
      <c r="H39" s="13">
        <f t="shared" si="1"/>
        <v>0.33333333333333331</v>
      </c>
    </row>
    <row r="40" spans="2:8" x14ac:dyDescent="0.2">
      <c r="B40" s="19" t="s">
        <v>48</v>
      </c>
      <c r="C40" s="78">
        <f>SUMPRODUCT($E$35:$E$39,C35:C39)</f>
        <v>17</v>
      </c>
      <c r="D40" s="78">
        <f>SUMPRODUCT($E$35:$E$39,D35:D39)</f>
        <v>16250</v>
      </c>
      <c r="E40" s="20">
        <f>SUM(E35:E39)</f>
        <v>1</v>
      </c>
      <c r="F40" s="78">
        <f>SUMPRODUCT($E$35:$E$39,F35:F39)</f>
        <v>1.2999999999999998</v>
      </c>
      <c r="G40" s="78">
        <f>SUMPRODUCT($E$35:$E$39,G35:G39)</f>
        <v>4.08</v>
      </c>
      <c r="H40" s="21">
        <f>F40/G40</f>
        <v>0.31862745098039214</v>
      </c>
    </row>
    <row r="41" spans="2:8" x14ac:dyDescent="0.2">
      <c r="B41" t="s">
        <v>49</v>
      </c>
      <c r="C41" s="4" t="str">
        <f>IF(ROUND(E40,6)=1,"OK","ERROR: mix does not total 100%")</f>
        <v>OK</v>
      </c>
      <c r="E41" s="16"/>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P42"/>
  <sheetViews>
    <sheetView showGridLines="0" topLeftCell="A4" zoomScaleNormal="100" workbookViewId="0">
      <pane xSplit="2" topLeftCell="C1" activePane="topRight" state="frozen"/>
      <selection pane="topRight" activeCell="AL18" sqref="AL18"/>
    </sheetView>
  </sheetViews>
  <sheetFormatPr baseColWidth="10" defaultColWidth="8.6640625" defaultRowHeight="15" x14ac:dyDescent="0.2"/>
  <cols>
    <col min="1" max="1" width="2" customWidth="1"/>
    <col min="2" max="2" width="41.6640625" customWidth="1"/>
    <col min="3" max="38" width="11" customWidth="1"/>
    <col min="39" max="39" width="3" customWidth="1"/>
    <col min="40" max="42" width="15.33203125" customWidth="1"/>
  </cols>
  <sheetData>
    <row r="2" spans="2:42" ht="27.75" customHeight="1" x14ac:dyDescent="0.25">
      <c r="B2" s="1" t="s">
        <v>164</v>
      </c>
    </row>
    <row r="3" spans="2:42" x14ac:dyDescent="0.2">
      <c r="B3" s="3" t="s">
        <v>50</v>
      </c>
      <c r="AN3" s="4" t="s">
        <v>74</v>
      </c>
    </row>
    <row r="5" spans="2:42" x14ac:dyDescent="0.2">
      <c r="B5" s="4" t="s">
        <v>5</v>
      </c>
      <c r="C5" s="23">
        <v>1</v>
      </c>
      <c r="D5" s="23">
        <f>C5+1</f>
        <v>2</v>
      </c>
      <c r="E5" s="23">
        <f t="shared" ref="E5:AL5" si="0">D5+1</f>
        <v>3</v>
      </c>
      <c r="F5" s="23">
        <f t="shared" si="0"/>
        <v>4</v>
      </c>
      <c r="G5" s="23">
        <f t="shared" si="0"/>
        <v>5</v>
      </c>
      <c r="H5" s="23">
        <f t="shared" si="0"/>
        <v>6</v>
      </c>
      <c r="I5" s="23">
        <f t="shared" si="0"/>
        <v>7</v>
      </c>
      <c r="J5" s="23">
        <f t="shared" si="0"/>
        <v>8</v>
      </c>
      <c r="K5" s="23">
        <f t="shared" si="0"/>
        <v>9</v>
      </c>
      <c r="L5" s="23">
        <f t="shared" si="0"/>
        <v>10</v>
      </c>
      <c r="M5" s="23">
        <f t="shared" si="0"/>
        <v>11</v>
      </c>
      <c r="N5" s="23">
        <f t="shared" si="0"/>
        <v>12</v>
      </c>
      <c r="O5" s="23">
        <f t="shared" si="0"/>
        <v>13</v>
      </c>
      <c r="P5" s="23">
        <f t="shared" si="0"/>
        <v>14</v>
      </c>
      <c r="Q5" s="23">
        <f t="shared" si="0"/>
        <v>15</v>
      </c>
      <c r="R5" s="23">
        <f t="shared" si="0"/>
        <v>16</v>
      </c>
      <c r="S5" s="23">
        <f t="shared" si="0"/>
        <v>17</v>
      </c>
      <c r="T5" s="23">
        <f t="shared" si="0"/>
        <v>18</v>
      </c>
      <c r="U5" s="23">
        <f t="shared" si="0"/>
        <v>19</v>
      </c>
      <c r="V5" s="23">
        <f t="shared" si="0"/>
        <v>20</v>
      </c>
      <c r="W5" s="23">
        <f t="shared" si="0"/>
        <v>21</v>
      </c>
      <c r="X5" s="23">
        <f t="shared" si="0"/>
        <v>22</v>
      </c>
      <c r="Y5" s="23">
        <f t="shared" si="0"/>
        <v>23</v>
      </c>
      <c r="Z5" s="23">
        <f t="shared" si="0"/>
        <v>24</v>
      </c>
      <c r="AA5" s="23">
        <f t="shared" si="0"/>
        <v>25</v>
      </c>
      <c r="AB5" s="23">
        <f t="shared" si="0"/>
        <v>26</v>
      </c>
      <c r="AC5" s="23">
        <f t="shared" si="0"/>
        <v>27</v>
      </c>
      <c r="AD5" s="23">
        <f t="shared" si="0"/>
        <v>28</v>
      </c>
      <c r="AE5" s="23">
        <f t="shared" si="0"/>
        <v>29</v>
      </c>
      <c r="AF5" s="23">
        <f t="shared" si="0"/>
        <v>30</v>
      </c>
      <c r="AG5" s="23">
        <f t="shared" si="0"/>
        <v>31</v>
      </c>
      <c r="AH5" s="23">
        <f t="shared" si="0"/>
        <v>32</v>
      </c>
      <c r="AI5" s="23">
        <f t="shared" si="0"/>
        <v>33</v>
      </c>
      <c r="AJ5" s="23">
        <f t="shared" si="0"/>
        <v>34</v>
      </c>
      <c r="AK5" s="23">
        <f t="shared" si="0"/>
        <v>35</v>
      </c>
      <c r="AL5" s="23">
        <f t="shared" si="0"/>
        <v>36</v>
      </c>
      <c r="AN5" s="114" t="s">
        <v>75</v>
      </c>
      <c r="AO5" s="114" t="s">
        <v>76</v>
      </c>
      <c r="AP5" s="114" t="s">
        <v>77</v>
      </c>
    </row>
    <row r="6" spans="2:42" x14ac:dyDescent="0.2">
      <c r="B6" s="4" t="s">
        <v>51</v>
      </c>
      <c r="C6" s="24">
        <f>ROUNDUP(C5/12,0)</f>
        <v>1</v>
      </c>
      <c r="D6" s="24">
        <f>ROUNDUP(D5/12,0)</f>
        <v>1</v>
      </c>
      <c r="E6" s="24">
        <f t="shared" ref="E6:AL6" si="1">ROUNDUP(E5/12,0)</f>
        <v>1</v>
      </c>
      <c r="F6" s="24">
        <f t="shared" si="1"/>
        <v>1</v>
      </c>
      <c r="G6" s="24">
        <f t="shared" si="1"/>
        <v>1</v>
      </c>
      <c r="H6" s="24">
        <f t="shared" si="1"/>
        <v>1</v>
      </c>
      <c r="I6" s="24">
        <f t="shared" si="1"/>
        <v>1</v>
      </c>
      <c r="J6" s="24">
        <f t="shared" si="1"/>
        <v>1</v>
      </c>
      <c r="K6" s="24">
        <f t="shared" si="1"/>
        <v>1</v>
      </c>
      <c r="L6" s="24">
        <f t="shared" si="1"/>
        <v>1</v>
      </c>
      <c r="M6" s="24">
        <f t="shared" si="1"/>
        <v>1</v>
      </c>
      <c r="N6" s="24">
        <f t="shared" si="1"/>
        <v>1</v>
      </c>
      <c r="O6" s="24">
        <f t="shared" si="1"/>
        <v>2</v>
      </c>
      <c r="P6" s="24">
        <f t="shared" si="1"/>
        <v>2</v>
      </c>
      <c r="Q6" s="24">
        <f t="shared" si="1"/>
        <v>2</v>
      </c>
      <c r="R6" s="24">
        <f t="shared" si="1"/>
        <v>2</v>
      </c>
      <c r="S6" s="24">
        <f t="shared" si="1"/>
        <v>2</v>
      </c>
      <c r="T6" s="24">
        <f t="shared" si="1"/>
        <v>2</v>
      </c>
      <c r="U6" s="24">
        <f t="shared" si="1"/>
        <v>2</v>
      </c>
      <c r="V6" s="24">
        <f t="shared" si="1"/>
        <v>2</v>
      </c>
      <c r="W6" s="24">
        <f t="shared" si="1"/>
        <v>2</v>
      </c>
      <c r="X6" s="24">
        <f t="shared" si="1"/>
        <v>2</v>
      </c>
      <c r="Y6" s="24">
        <f t="shared" si="1"/>
        <v>2</v>
      </c>
      <c r="Z6" s="24">
        <f t="shared" si="1"/>
        <v>2</v>
      </c>
      <c r="AA6" s="24">
        <f t="shared" si="1"/>
        <v>3</v>
      </c>
      <c r="AB6" s="24">
        <f t="shared" si="1"/>
        <v>3</v>
      </c>
      <c r="AC6" s="24">
        <f t="shared" si="1"/>
        <v>3</v>
      </c>
      <c r="AD6" s="24">
        <f t="shared" si="1"/>
        <v>3</v>
      </c>
      <c r="AE6" s="24">
        <f t="shared" si="1"/>
        <v>3</v>
      </c>
      <c r="AF6" s="24">
        <f t="shared" si="1"/>
        <v>3</v>
      </c>
      <c r="AG6" s="24">
        <f t="shared" si="1"/>
        <v>3</v>
      </c>
      <c r="AH6" s="24">
        <f t="shared" si="1"/>
        <v>3</v>
      </c>
      <c r="AI6" s="24">
        <f t="shared" si="1"/>
        <v>3</v>
      </c>
      <c r="AJ6" s="24">
        <f t="shared" si="1"/>
        <v>3</v>
      </c>
      <c r="AK6" s="24">
        <f t="shared" si="1"/>
        <v>3</v>
      </c>
      <c r="AL6" s="24">
        <f t="shared" si="1"/>
        <v>3</v>
      </c>
      <c r="AN6" s="115">
        <v>1</v>
      </c>
      <c r="AO6" s="115">
        <v>2</v>
      </c>
      <c r="AP6" s="115">
        <v>3</v>
      </c>
    </row>
    <row r="7" spans="2:42" x14ac:dyDescent="0.2">
      <c r="B7" s="15" t="s">
        <v>52</v>
      </c>
      <c r="C7" s="13">
        <f>CHOOSE(C$6,Assumptions!$C$13,Assumptions!$C$14,Assumptions!$C$15)</f>
        <v>0.105</v>
      </c>
      <c r="D7" s="13">
        <f>CHOOSE(D$6,Assumptions!$C$13,Assumptions!$C$14,Assumptions!$C$15)</f>
        <v>0.105</v>
      </c>
      <c r="E7" s="13">
        <f>CHOOSE(E$6,Assumptions!$C$13,Assumptions!$C$14,Assumptions!$C$15)</f>
        <v>0.105</v>
      </c>
      <c r="F7" s="13">
        <f>CHOOSE(F$6,Assumptions!$C$13,Assumptions!$C$14,Assumptions!$C$15)</f>
        <v>0.105</v>
      </c>
      <c r="G7" s="13">
        <f>CHOOSE(G$6,Assumptions!$C$13,Assumptions!$C$14,Assumptions!$C$15)</f>
        <v>0.105</v>
      </c>
      <c r="H7" s="13">
        <f>CHOOSE(H$6,Assumptions!$C$13,Assumptions!$C$14,Assumptions!$C$15)</f>
        <v>0.105</v>
      </c>
      <c r="I7" s="13">
        <f>CHOOSE(I$6,Assumptions!$C$13,Assumptions!$C$14,Assumptions!$C$15)</f>
        <v>0.105</v>
      </c>
      <c r="J7" s="13">
        <f>CHOOSE(J$6,Assumptions!$C$13,Assumptions!$C$14,Assumptions!$C$15)</f>
        <v>0.105</v>
      </c>
      <c r="K7" s="13">
        <f>CHOOSE(K$6,Assumptions!$C$13,Assumptions!$C$14,Assumptions!$C$15)</f>
        <v>0.105</v>
      </c>
      <c r="L7" s="13">
        <f>CHOOSE(L$6,Assumptions!$C$13,Assumptions!$C$14,Assumptions!$C$15)</f>
        <v>0.105</v>
      </c>
      <c r="M7" s="13">
        <f>CHOOSE(M$6,Assumptions!$C$13,Assumptions!$C$14,Assumptions!$C$15)</f>
        <v>0.105</v>
      </c>
      <c r="N7" s="13">
        <f>CHOOSE(N$6,Assumptions!$C$13,Assumptions!$C$14,Assumptions!$C$15)</f>
        <v>0.105</v>
      </c>
      <c r="O7" s="13">
        <f>CHOOSE(O$6,Assumptions!$C$13,Assumptions!$C$14,Assumptions!$C$15)</f>
        <v>0.08</v>
      </c>
      <c r="P7" s="13">
        <f>CHOOSE(P$6,Assumptions!$C$13,Assumptions!$C$14,Assumptions!$C$15)</f>
        <v>0.08</v>
      </c>
      <c r="Q7" s="13">
        <f>CHOOSE(Q$6,Assumptions!$C$13,Assumptions!$C$14,Assumptions!$C$15)</f>
        <v>0.08</v>
      </c>
      <c r="R7" s="13">
        <f>CHOOSE(R$6,Assumptions!$C$13,Assumptions!$C$14,Assumptions!$C$15)</f>
        <v>0.08</v>
      </c>
      <c r="S7" s="13">
        <f>CHOOSE(S$6,Assumptions!$C$13,Assumptions!$C$14,Assumptions!$C$15)</f>
        <v>0.08</v>
      </c>
      <c r="T7" s="13">
        <f>CHOOSE(T$6,Assumptions!$C$13,Assumptions!$C$14,Assumptions!$C$15)</f>
        <v>0.08</v>
      </c>
      <c r="U7" s="13">
        <f>CHOOSE(U$6,Assumptions!$C$13,Assumptions!$C$14,Assumptions!$C$15)</f>
        <v>0.08</v>
      </c>
      <c r="V7" s="13">
        <f>CHOOSE(V$6,Assumptions!$C$13,Assumptions!$C$14,Assumptions!$C$15)</f>
        <v>0.08</v>
      </c>
      <c r="W7" s="13">
        <f>CHOOSE(W$6,Assumptions!$C$13,Assumptions!$C$14,Assumptions!$C$15)</f>
        <v>0.08</v>
      </c>
      <c r="X7" s="13">
        <f>CHOOSE(X$6,Assumptions!$C$13,Assumptions!$C$14,Assumptions!$C$15)</f>
        <v>0.08</v>
      </c>
      <c r="Y7" s="13">
        <f>CHOOSE(Y$6,Assumptions!$C$13,Assumptions!$C$14,Assumptions!$C$15)</f>
        <v>0.08</v>
      </c>
      <c r="Z7" s="13">
        <f>CHOOSE(Z$6,Assumptions!$C$13,Assumptions!$C$14,Assumptions!$C$15)</f>
        <v>0.08</v>
      </c>
      <c r="AA7" s="13">
        <f>CHOOSE(AA$6,Assumptions!$C$13,Assumptions!$C$14,Assumptions!$C$15)</f>
        <v>7.0000000000000007E-2</v>
      </c>
      <c r="AB7" s="13">
        <f>CHOOSE(AB$6,Assumptions!$C$13,Assumptions!$C$14,Assumptions!$C$15)</f>
        <v>7.0000000000000007E-2</v>
      </c>
      <c r="AC7" s="13">
        <f>CHOOSE(AC$6,Assumptions!$C$13,Assumptions!$C$14,Assumptions!$C$15)</f>
        <v>7.0000000000000007E-2</v>
      </c>
      <c r="AD7" s="13">
        <f>CHOOSE(AD$6,Assumptions!$C$13,Assumptions!$C$14,Assumptions!$C$15)</f>
        <v>7.0000000000000007E-2</v>
      </c>
      <c r="AE7" s="13">
        <f>CHOOSE(AE$6,Assumptions!$C$13,Assumptions!$C$14,Assumptions!$C$15)</f>
        <v>7.0000000000000007E-2</v>
      </c>
      <c r="AF7" s="13">
        <f>CHOOSE(AF$6,Assumptions!$C$13,Assumptions!$C$14,Assumptions!$C$15)</f>
        <v>7.0000000000000007E-2</v>
      </c>
      <c r="AG7" s="13">
        <f>CHOOSE(AG$6,Assumptions!$C$13,Assumptions!$C$14,Assumptions!$C$15)</f>
        <v>7.0000000000000007E-2</v>
      </c>
      <c r="AH7" s="13">
        <f>CHOOSE(AH$6,Assumptions!$C$13,Assumptions!$C$14,Assumptions!$C$15)</f>
        <v>7.0000000000000007E-2</v>
      </c>
      <c r="AI7" s="13">
        <f>CHOOSE(AI$6,Assumptions!$C$13,Assumptions!$C$14,Assumptions!$C$15)</f>
        <v>7.0000000000000007E-2</v>
      </c>
      <c r="AJ7" s="13">
        <f>CHOOSE(AJ$6,Assumptions!$C$13,Assumptions!$C$14,Assumptions!$C$15)</f>
        <v>7.0000000000000007E-2</v>
      </c>
      <c r="AK7" s="13">
        <f>CHOOSE(AK$6,Assumptions!$C$13,Assumptions!$C$14,Assumptions!$C$15)</f>
        <v>7.0000000000000007E-2</v>
      </c>
      <c r="AL7" s="13">
        <f>CHOOSE(AL$6,Assumptions!$C$13,Assumptions!$C$14,Assumptions!$C$15)</f>
        <v>7.0000000000000007E-2</v>
      </c>
    </row>
    <row r="9" spans="2:42" x14ac:dyDescent="0.2">
      <c r="B9" s="107" t="s">
        <v>53</v>
      </c>
    </row>
    <row r="10" spans="2:42" x14ac:dyDescent="0.2">
      <c r="B10" t="s">
        <v>54</v>
      </c>
      <c r="C10" s="25">
        <f>C11+C12</f>
        <v>2000</v>
      </c>
      <c r="D10" s="25">
        <f>D11+D12</f>
        <v>2130</v>
      </c>
      <c r="E10" s="25">
        <f t="shared" ref="E10:AL10" si="2">E11+E12</f>
        <v>2268.4500000000003</v>
      </c>
      <c r="F10" s="25">
        <f t="shared" si="2"/>
        <v>2752.0337037815129</v>
      </c>
      <c r="G10" s="25">
        <f t="shared" si="2"/>
        <v>3567.8906844432781</v>
      </c>
      <c r="H10" s="25">
        <f t="shared" si="2"/>
        <v>4703.7363520413346</v>
      </c>
      <c r="I10" s="25">
        <f t="shared" si="2"/>
        <v>6147.8429124030135</v>
      </c>
      <c r="J10" s="25">
        <f t="shared" si="2"/>
        <v>7889.0213470873605</v>
      </c>
      <c r="K10" s="25">
        <f t="shared" si="2"/>
        <v>9916.6043905135848</v>
      </c>
      <c r="L10" s="25">
        <f t="shared" si="2"/>
        <v>12220.430482334614</v>
      </c>
      <c r="M10" s="25">
        <f t="shared" si="2"/>
        <v>14790.828675177429</v>
      </c>
      <c r="N10" s="25">
        <f t="shared" si="2"/>
        <v>17618.604479910511</v>
      </c>
      <c r="O10" s="25">
        <f t="shared" si="2"/>
        <v>20695.026632636705</v>
      </c>
      <c r="P10" s="25">
        <f t="shared" si="2"/>
        <v>23905.359957575103</v>
      </c>
      <c r="Q10" s="25">
        <f t="shared" si="2"/>
        <v>27337.040619243362</v>
      </c>
      <c r="R10" s="25">
        <f t="shared" si="2"/>
        <v>30981.759772810132</v>
      </c>
      <c r="S10" s="25">
        <f t="shared" si="2"/>
        <v>34831.562729182813</v>
      </c>
      <c r="T10" s="25">
        <f t="shared" si="2"/>
        <v>38878.835660855853</v>
      </c>
      <c r="U10" s="25">
        <f t="shared" si="2"/>
        <v>43116.292874408195</v>
      </c>
      <c r="V10" s="25">
        <f t="shared" si="2"/>
        <v>47536.964628379254</v>
      </c>
      <c r="W10" s="25">
        <f t="shared" si="2"/>
        <v>52134.185476159444</v>
      </c>
      <c r="X10" s="25">
        <f t="shared" si="2"/>
        <v>56901.583114403868</v>
      </c>
      <c r="Y10" s="25">
        <f t="shared" si="2"/>
        <v>61833.067718317703</v>
      </c>
      <c r="Z10" s="25">
        <f t="shared" si="2"/>
        <v>66922.821745970898</v>
      </c>
      <c r="AA10" s="25">
        <f t="shared" si="2"/>
        <v>72165.29019457844</v>
      </c>
      <c r="AB10" s="25">
        <f t="shared" si="2"/>
        <v>77486.996258850399</v>
      </c>
      <c r="AC10" s="25">
        <f t="shared" si="2"/>
        <v>82946.285291385415</v>
      </c>
      <c r="AD10" s="25">
        <f t="shared" si="2"/>
        <v>88538.083476164524</v>
      </c>
      <c r="AE10" s="25">
        <f t="shared" si="2"/>
        <v>94257.532834890881</v>
      </c>
      <c r="AF10" s="25">
        <f t="shared" si="2"/>
        <v>100099.9829800333</v>
      </c>
      <c r="AG10" s="25">
        <f t="shared" si="2"/>
        <v>106060.98320934465</v>
      </c>
      <c r="AH10" s="25">
        <f t="shared" si="2"/>
        <v>112136.27492854398</v>
      </c>
      <c r="AI10" s="25">
        <f t="shared" si="2"/>
        <v>118321.78438939412</v>
      </c>
      <c r="AJ10" s="25">
        <f t="shared" si="2"/>
        <v>124613.61573092816</v>
      </c>
      <c r="AK10" s="25">
        <f t="shared" si="2"/>
        <v>131008.04431207884</v>
      </c>
      <c r="AL10" s="25">
        <f t="shared" si="2"/>
        <v>137501.51032444637</v>
      </c>
      <c r="AN10" s="25" cm="1">
        <f t="array" ref="AN10">INDEX($C$10:$AL$10,(AN$6-1)*12+1)</f>
        <v>2000</v>
      </c>
      <c r="AO10" s="25" cm="1">
        <f t="array" ref="AO10">INDEX($C$10:$AL$10,(AO$6-1)*12+1)</f>
        <v>20695.026632636705</v>
      </c>
      <c r="AP10" s="25" cm="1">
        <f t="array" ref="AP10">INDEX($C$10:$AL$10,(AP$6-1)*12+1)</f>
        <v>72165.29019457844</v>
      </c>
    </row>
    <row r="11" spans="2:42" x14ac:dyDescent="0.2">
      <c r="B11" t="s">
        <v>156</v>
      </c>
      <c r="C11" s="11">
        <f>Assumptions!$C$12</f>
        <v>2000</v>
      </c>
      <c r="D11" s="11">
        <f>C11+C13-C11*Assumptions!$C$16</f>
        <v>2130</v>
      </c>
      <c r="E11" s="11">
        <f>D11+D13-D11*Assumptions!$C$16</f>
        <v>2268.4500000000003</v>
      </c>
      <c r="F11" s="11">
        <f>E11+E13-E11*Assumptions!$C$16</f>
        <v>2415.8992500000004</v>
      </c>
      <c r="G11" s="11">
        <f>F11+F13-F11*Assumptions!$C$16</f>
        <v>2572.9327012500007</v>
      </c>
      <c r="H11" s="11">
        <f>G11+G13-G11*Assumptions!$C$16</f>
        <v>2740.173326831251</v>
      </c>
      <c r="I11" s="11">
        <f>H11+H13-H11*Assumptions!$C$16</f>
        <v>2918.2845930752819</v>
      </c>
      <c r="J11" s="11">
        <f>I11+I13-I11*Assumptions!$C$16</f>
        <v>3107.9730916251751</v>
      </c>
      <c r="K11" s="11">
        <f>J11+J13-J11*Assumptions!$C$16</f>
        <v>3309.9913425808118</v>
      </c>
      <c r="L11" s="11">
        <f>K11+K13-K11*Assumptions!$C$16</f>
        <v>3525.1407798485643</v>
      </c>
      <c r="M11" s="11">
        <f>L11+L13-L11*Assumptions!$C$16</f>
        <v>3754.274930538721</v>
      </c>
      <c r="N11" s="11">
        <f>M11+M13-M11*Assumptions!$C$16</f>
        <v>3998.3028010237381</v>
      </c>
      <c r="O11" s="11">
        <f>N11+N13-N11*Assumptions!$C$16</f>
        <v>4258.1924830902808</v>
      </c>
      <c r="P11" s="11">
        <f>O11+O13-O11*Assumptions!$C$16</f>
        <v>4428.5201824138921</v>
      </c>
      <c r="Q11" s="11">
        <f>P11+P13-P11*Assumptions!$C$16</f>
        <v>4605.6609897104472</v>
      </c>
      <c r="R11" s="11">
        <f>Q11+Q13-Q11*Assumptions!$C$16</f>
        <v>4789.8874292988658</v>
      </c>
      <c r="S11" s="11">
        <f>R11+R13-R11*Assumptions!$C$16</f>
        <v>4981.4829264708205</v>
      </c>
      <c r="T11" s="11">
        <f>S11+S13-S11*Assumptions!$C$16</f>
        <v>5180.7422435296539</v>
      </c>
      <c r="U11" s="11">
        <f>T11+T13-T11*Assumptions!$C$16</f>
        <v>5387.9719332708401</v>
      </c>
      <c r="V11" s="11">
        <f>U11+U13-U11*Assumptions!$C$16</f>
        <v>5603.4908106016737</v>
      </c>
      <c r="W11" s="11">
        <f>V11+V13-V11*Assumptions!$C$16</f>
        <v>5827.6304430257405</v>
      </c>
      <c r="X11" s="11">
        <f>W11+W13-W11*Assumptions!$C$16</f>
        <v>6060.73566074677</v>
      </c>
      <c r="Y11" s="11">
        <f>X11+X13-X11*Assumptions!$C$16</f>
        <v>6303.1650871766415</v>
      </c>
      <c r="Z11" s="11">
        <f>Y11+Y13-Y11*Assumptions!$C$16</f>
        <v>6555.2916906637065</v>
      </c>
      <c r="AA11" s="11">
        <f>Z11+Z13-Z11*Assumptions!$C$16</f>
        <v>6817.5033582902543</v>
      </c>
      <c r="AB11" s="11">
        <f>AA11+AA13-AA11*Assumptions!$C$16</f>
        <v>7022.028459038961</v>
      </c>
      <c r="AC11" s="11">
        <f>AB11+AB13-AB11*Assumptions!$C$16</f>
        <v>7232.6893128101301</v>
      </c>
      <c r="AD11" s="11">
        <f>AC11+AC13-AC11*Assumptions!$C$16</f>
        <v>7449.6699921944337</v>
      </c>
      <c r="AE11" s="11">
        <f>AD11+AD13-AD11*Assumptions!$C$16</f>
        <v>7673.160091960267</v>
      </c>
      <c r="AF11" s="11">
        <f>AE11+AE13-AE11*Assumptions!$C$16</f>
        <v>7903.3548947190748</v>
      </c>
      <c r="AG11" s="11">
        <f>AF11+AF13-AF11*Assumptions!$C$16</f>
        <v>8140.4555415606465</v>
      </c>
      <c r="AH11" s="11">
        <f>AG11+AG13-AG11*Assumptions!$C$16</f>
        <v>8384.6692078074666</v>
      </c>
      <c r="AI11" s="11">
        <f>AH11+AH13-AH11*Assumptions!$C$16</f>
        <v>8636.2092840416899</v>
      </c>
      <c r="AJ11" s="11">
        <f>AI11+AI13-AI11*Assumptions!$C$16</f>
        <v>8895.2955625629402</v>
      </c>
      <c r="AK11" s="11">
        <f>AJ11+AJ13-AJ11*Assumptions!$C$16</f>
        <v>9162.1544294398282</v>
      </c>
      <c r="AL11" s="11">
        <f>AK11+AK13-AK11*Assumptions!$C$16</f>
        <v>9437.0190623230246</v>
      </c>
      <c r="AM11" s="11"/>
      <c r="AN11" s="11" cm="1">
        <f t="array" ref="AN11">INDEX($C$11:$AL$11,(AN$6-1)*12+1)</f>
        <v>2000</v>
      </c>
      <c r="AO11" s="11" cm="1">
        <f t="array" ref="AO11">INDEX($C$11:$AL$11,(AO$6-1)*12+1)</f>
        <v>4258.1924830902808</v>
      </c>
      <c r="AP11" s="11" cm="1">
        <f t="array" ref="AP11">INDEX($C$11:$AL$11,(AP$6-1)*12+1)</f>
        <v>6817.5033582902543</v>
      </c>
    </row>
    <row r="12" spans="2:42" x14ac:dyDescent="0.2">
      <c r="B12" t="s">
        <v>165</v>
      </c>
      <c r="C12" s="11">
        <v>0</v>
      </c>
      <c r="D12" s="11">
        <f>C12+C14-C12*Assumptions!$C$16</f>
        <v>0</v>
      </c>
      <c r="E12" s="11">
        <f>D12+D14-D12*Assumptions!$C$16</f>
        <v>0</v>
      </c>
      <c r="F12" s="11">
        <f>E12+E14-E12*Assumptions!$C$16</f>
        <v>336.1344537815126</v>
      </c>
      <c r="G12" s="11">
        <f>F12+F14-F12*Assumptions!$C$16</f>
        <v>994.95798319327741</v>
      </c>
      <c r="H12" s="11">
        <f>G12+G14-G12*Assumptions!$C$16</f>
        <v>1963.5630252100841</v>
      </c>
      <c r="I12" s="11">
        <f>H12+H14-H12*Assumptions!$C$16</f>
        <v>3229.5583193277312</v>
      </c>
      <c r="J12" s="11">
        <f>I12+I14-I12*Assumptions!$C$16</f>
        <v>4781.0482554621849</v>
      </c>
      <c r="K12" s="11">
        <f>J12+J14-J12*Assumptions!$C$16</f>
        <v>6606.613047932774</v>
      </c>
      <c r="L12" s="11">
        <f>K12+K14-K12*Assumptions!$C$16</f>
        <v>8695.2897024860504</v>
      </c>
      <c r="M12" s="11">
        <f>L12+L14-L12*Assumptions!$C$16</f>
        <v>11036.553744638708</v>
      </c>
      <c r="N12" s="11">
        <f>M12+M14-M12*Assumptions!$C$16</f>
        <v>13620.301678886774</v>
      </c>
      <c r="O12" s="11">
        <f>N12+N14-N12*Assumptions!$C$16</f>
        <v>16436.834149546426</v>
      </c>
      <c r="P12" s="11">
        <f>O12+O14-O12*Assumptions!$C$16</f>
        <v>19476.83977516121</v>
      </c>
      <c r="Q12" s="11">
        <f>P12+P14-P12*Assumptions!$C$16</f>
        <v>22731.379629532916</v>
      </c>
      <c r="R12" s="11">
        <f>Q12+Q14-Q12*Assumptions!$C$16</f>
        <v>26191.872343511266</v>
      </c>
      <c r="S12" s="11">
        <f>R12+R14-R12*Assumptions!$C$16</f>
        <v>29850.079802711993</v>
      </c>
      <c r="T12" s="11">
        <f>S12+S14-S12*Assumptions!$C$16</f>
        <v>33698.093417326199</v>
      </c>
      <c r="U12" s="11">
        <f>T12+T14-T12*Assumptions!$C$16</f>
        <v>37728.320941137354</v>
      </c>
      <c r="V12" s="11">
        <f>U12+U14-U12*Assumptions!$C$16</f>
        <v>41933.47381777758</v>
      </c>
      <c r="W12" s="11">
        <f>V12+V14-V12*Assumptions!$C$16</f>
        <v>46306.5550331337</v>
      </c>
      <c r="X12" s="11">
        <f>W12+W14-W12*Assumptions!$C$16</f>
        <v>50840.847453657094</v>
      </c>
      <c r="Y12" s="11">
        <f>X12+X14-X12*Assumptions!$C$16</f>
        <v>55529.902631141063</v>
      </c>
      <c r="Z12" s="11">
        <f>Y12+Y14-Y12*Assumptions!$C$16</f>
        <v>60367.530055307187</v>
      </c>
      <c r="AA12" s="11">
        <f>Z12+Z14-Z12*Assumptions!$C$16</f>
        <v>65347.786836288178</v>
      </c>
      <c r="AB12" s="11">
        <f>AA12+AA14-AA12*Assumptions!$C$16</f>
        <v>70464.967799811435</v>
      </c>
      <c r="AC12" s="11">
        <f>AB12+AB14-AB12*Assumptions!$C$16</f>
        <v>75713.595978575278</v>
      </c>
      <c r="AD12" s="11">
        <f>AC12+AC14-AC12*Assumptions!$C$16</f>
        <v>81088.413483970086</v>
      </c>
      <c r="AE12" s="11">
        <f>AD12+AD14-AD12*Assumptions!$C$16</f>
        <v>86584.372742930616</v>
      </c>
      <c r="AF12" s="11">
        <f>AE12+AE14-AE12*Assumptions!$C$16</f>
        <v>92196.628085314223</v>
      </c>
      <c r="AG12" s="11">
        <f>AF12+AF14-AF12*Assumptions!$C$16</f>
        <v>97920.527667784001</v>
      </c>
      <c r="AH12" s="11">
        <f>AG12+AG14-AG12*Assumptions!$C$16</f>
        <v>103751.60572073651</v>
      </c>
      <c r="AI12" s="11">
        <f>AH12+AH14-AH12*Assumptions!$C$16</f>
        <v>109685.57510535243</v>
      </c>
      <c r="AJ12" s="11">
        <f>AI12+AI14-AI12*Assumptions!$C$16</f>
        <v>115718.32016836522</v>
      </c>
      <c r="AK12" s="11">
        <f>AJ12+AJ14-AJ12*Assumptions!$C$16</f>
        <v>121845.88988263901</v>
      </c>
      <c r="AL12" s="11">
        <f>AK12+AK14-AK12*Assumptions!$C$16</f>
        <v>128064.49126212335</v>
      </c>
      <c r="AM12" s="11"/>
      <c r="AN12" s="11" cm="1">
        <f t="array" ref="AN12">INDEX($C$12:$AL$12,(AN$6-1)*12+1)</f>
        <v>0</v>
      </c>
      <c r="AO12" s="11" cm="1">
        <f t="array" ref="AO12">INDEX($C$12:$AL$12,(AO$6-1)*12+1)</f>
        <v>16436.834149546426</v>
      </c>
      <c r="AP12" s="11" cm="1">
        <f t="array" ref="AP12">INDEX($C$12:$AL$12,(AP$6-1)*12+1)</f>
        <v>65347.786836288178</v>
      </c>
    </row>
    <row r="13" spans="2:42" x14ac:dyDescent="0.2">
      <c r="B13" t="s">
        <v>155</v>
      </c>
      <c r="C13" s="25">
        <f>C11*C$7</f>
        <v>210</v>
      </c>
      <c r="D13" s="25">
        <f t="shared" ref="D13:AL13" si="3">D11*D$7</f>
        <v>223.65</v>
      </c>
      <c r="E13" s="25">
        <f t="shared" si="3"/>
        <v>238.18725000000001</v>
      </c>
      <c r="F13" s="25">
        <f t="shared" si="3"/>
        <v>253.66942125000003</v>
      </c>
      <c r="G13" s="25">
        <f t="shared" si="3"/>
        <v>270.15793363125005</v>
      </c>
      <c r="H13" s="25">
        <f t="shared" si="3"/>
        <v>287.71819931728135</v>
      </c>
      <c r="I13" s="25">
        <f t="shared" si="3"/>
        <v>306.4198822729046</v>
      </c>
      <c r="J13" s="25">
        <f t="shared" si="3"/>
        <v>326.3371746206434</v>
      </c>
      <c r="K13" s="25">
        <f t="shared" si="3"/>
        <v>347.54909097098522</v>
      </c>
      <c r="L13" s="25">
        <f t="shared" si="3"/>
        <v>370.13978188409925</v>
      </c>
      <c r="M13" s="25">
        <f t="shared" si="3"/>
        <v>394.19886770656569</v>
      </c>
      <c r="N13" s="25">
        <f t="shared" si="3"/>
        <v>419.82179410749251</v>
      </c>
      <c r="O13" s="25">
        <f t="shared" si="3"/>
        <v>340.65539864722246</v>
      </c>
      <c r="P13" s="25">
        <f t="shared" si="3"/>
        <v>354.28161459311139</v>
      </c>
      <c r="Q13" s="25">
        <f t="shared" si="3"/>
        <v>368.45287917683578</v>
      </c>
      <c r="R13" s="25">
        <f t="shared" si="3"/>
        <v>383.19099434390927</v>
      </c>
      <c r="S13" s="25">
        <f t="shared" si="3"/>
        <v>398.51863411766567</v>
      </c>
      <c r="T13" s="25">
        <f t="shared" si="3"/>
        <v>414.4593794823723</v>
      </c>
      <c r="U13" s="25">
        <f t="shared" si="3"/>
        <v>431.03775466166724</v>
      </c>
      <c r="V13" s="25">
        <f t="shared" si="3"/>
        <v>448.27926484813389</v>
      </c>
      <c r="W13" s="25">
        <f t="shared" si="3"/>
        <v>466.21043544205924</v>
      </c>
      <c r="X13" s="25">
        <f t="shared" si="3"/>
        <v>484.8588528597416</v>
      </c>
      <c r="Y13" s="25">
        <f t="shared" si="3"/>
        <v>504.25320697413133</v>
      </c>
      <c r="Z13" s="25">
        <f t="shared" si="3"/>
        <v>524.42333525309652</v>
      </c>
      <c r="AA13" s="25">
        <f t="shared" si="3"/>
        <v>477.22523508031782</v>
      </c>
      <c r="AB13" s="25">
        <f t="shared" si="3"/>
        <v>491.54199213272733</v>
      </c>
      <c r="AC13" s="25">
        <f t="shared" si="3"/>
        <v>506.28825189670914</v>
      </c>
      <c r="AD13" s="25">
        <f t="shared" si="3"/>
        <v>521.47689945361037</v>
      </c>
      <c r="AE13" s="25">
        <f t="shared" si="3"/>
        <v>537.12120643721869</v>
      </c>
      <c r="AF13" s="25">
        <f t="shared" si="3"/>
        <v>553.23484263033527</v>
      </c>
      <c r="AG13" s="25">
        <f t="shared" si="3"/>
        <v>569.83188790924532</v>
      </c>
      <c r="AH13" s="25">
        <f t="shared" si="3"/>
        <v>586.92684454652272</v>
      </c>
      <c r="AI13" s="25">
        <f t="shared" si="3"/>
        <v>604.5346498829183</v>
      </c>
      <c r="AJ13" s="25">
        <f t="shared" si="3"/>
        <v>622.67068937940587</v>
      </c>
      <c r="AK13" s="25">
        <f t="shared" si="3"/>
        <v>641.35081006078804</v>
      </c>
      <c r="AL13" s="25">
        <f t="shared" si="3"/>
        <v>660.59133436261175</v>
      </c>
      <c r="AN13" s="25">
        <f>SUMIF($C$6:$AL$6,AN$6,$C13:$AL13)</f>
        <v>3647.8493957612222</v>
      </c>
      <c r="AO13" s="25">
        <f t="shared" ref="AO13:AP15" si="4">SUMIF($C$6:$AL$6,AO$6,$C13:$AL13)</f>
        <v>5118.6217503999469</v>
      </c>
      <c r="AP13" s="25">
        <f t="shared" si="4"/>
        <v>6772.7946437724104</v>
      </c>
    </row>
    <row r="14" spans="2:42" x14ac:dyDescent="0.2">
      <c r="B14" t="s">
        <v>166</v>
      </c>
      <c r="C14" s="11">
        <f>IF(C$5&lt;Assumptions!$C$19,0,Assumptions!$C$18*(C$5-Assumptions!$C$19+1)/Assumptions!$C$20)</f>
        <v>0</v>
      </c>
      <c r="D14" s="11">
        <f>IF(D$5&lt;Assumptions!$C$19,0,Assumptions!$C$18*(D$5-Assumptions!$C$19+1)/Assumptions!$C$20)</f>
        <v>0</v>
      </c>
      <c r="E14" s="11">
        <f>IF(E$5&lt;Assumptions!$C$19,0,Assumptions!$C$18*(E$5-Assumptions!$C$19+1)/Assumptions!$C$20)</f>
        <v>336.1344537815126</v>
      </c>
      <c r="F14" s="11">
        <f>IF(F$5&lt;Assumptions!$C$19,0,Assumptions!$C$18*(F$5-Assumptions!$C$19+1)/Assumptions!$C$20)</f>
        <v>672.26890756302521</v>
      </c>
      <c r="G14" s="11">
        <f>IF(G$5&lt;Assumptions!$C$19,0,Assumptions!$C$18*(G$5-Assumptions!$C$19+1)/Assumptions!$C$20)</f>
        <v>1008.4033613445379</v>
      </c>
      <c r="H14" s="11">
        <f>IF(H$5&lt;Assumptions!$C$19,0,Assumptions!$C$18*(H$5-Assumptions!$C$19+1)/Assumptions!$C$20)</f>
        <v>1344.5378151260504</v>
      </c>
      <c r="I14" s="11">
        <f>IF(I$5&lt;Assumptions!$C$19,0,Assumptions!$C$18*(I$5-Assumptions!$C$19+1)/Assumptions!$C$20)</f>
        <v>1680.672268907563</v>
      </c>
      <c r="J14" s="11">
        <f>IF(J$5&lt;Assumptions!$C$19,0,Assumptions!$C$18*(J$5-Assumptions!$C$19+1)/Assumptions!$C$20)</f>
        <v>2016.8067226890757</v>
      </c>
      <c r="K14" s="11">
        <f>IF(K$5&lt;Assumptions!$C$19,0,Assumptions!$C$18*(K$5-Assumptions!$C$19+1)/Assumptions!$C$20)</f>
        <v>2352.9411764705883</v>
      </c>
      <c r="L14" s="11">
        <f>IF(L$5&lt;Assumptions!$C$19,0,Assumptions!$C$18*(L$5-Assumptions!$C$19+1)/Assumptions!$C$20)</f>
        <v>2689.0756302521008</v>
      </c>
      <c r="M14" s="11">
        <f>IF(M$5&lt;Assumptions!$C$19,0,Assumptions!$C$18*(M$5-Assumptions!$C$19+1)/Assumptions!$C$20)</f>
        <v>3025.2100840336134</v>
      </c>
      <c r="N14" s="11">
        <f>IF(N$5&lt;Assumptions!$C$19,0,Assumptions!$C$18*(N$5-Assumptions!$C$19+1)/Assumptions!$C$20)</f>
        <v>3361.3445378151259</v>
      </c>
      <c r="O14" s="11">
        <f>IF(O$5&lt;Assumptions!$C$19,0,Assumptions!$C$18*(O$5-Assumptions!$C$19+1)/Assumptions!$C$20)</f>
        <v>3697.4789915966385</v>
      </c>
      <c r="P14" s="11">
        <f>IF(P$5&lt;Assumptions!$C$19,0,Assumptions!$C$18*(P$5-Assumptions!$C$19+1)/Assumptions!$C$20)</f>
        <v>4033.6134453781515</v>
      </c>
      <c r="Q14" s="11">
        <f>IF(Q$5&lt;Assumptions!$C$19,0,Assumptions!$C$18*(Q$5-Assumptions!$C$19+1)/Assumptions!$C$20)</f>
        <v>4369.7478991596636</v>
      </c>
      <c r="R14" s="11">
        <f>IF(R$5&lt;Assumptions!$C$19,0,Assumptions!$C$18*(R$5-Assumptions!$C$19+1)/Assumptions!$C$20)</f>
        <v>4705.8823529411766</v>
      </c>
      <c r="S14" s="11">
        <f>IF(S$5&lt;Assumptions!$C$19,0,Assumptions!$C$18*(S$5-Assumptions!$C$19+1)/Assumptions!$C$20)</f>
        <v>5042.0168067226887</v>
      </c>
      <c r="T14" s="11">
        <f>IF(T$5&lt;Assumptions!$C$19,0,Assumptions!$C$18*(T$5-Assumptions!$C$19+1)/Assumptions!$C$20)</f>
        <v>5378.1512605042017</v>
      </c>
      <c r="U14" s="11">
        <f>IF(U$5&lt;Assumptions!$C$19,0,Assumptions!$C$18*(U$5-Assumptions!$C$19+1)/Assumptions!$C$20)</f>
        <v>5714.2857142857147</v>
      </c>
      <c r="V14" s="11">
        <f>IF(V$5&lt;Assumptions!$C$19,0,Assumptions!$C$18*(V$5-Assumptions!$C$19+1)/Assumptions!$C$20)</f>
        <v>6050.4201680672268</v>
      </c>
      <c r="W14" s="11">
        <f>IF(W$5&lt;Assumptions!$C$19,0,Assumptions!$C$18*(W$5-Assumptions!$C$19+1)/Assumptions!$C$20)</f>
        <v>6386.5546218487398</v>
      </c>
      <c r="X14" s="11">
        <f>IF(X$5&lt;Assumptions!$C$19,0,Assumptions!$C$18*(X$5-Assumptions!$C$19+1)/Assumptions!$C$20)</f>
        <v>6722.6890756302519</v>
      </c>
      <c r="Y14" s="11">
        <f>IF(Y$5&lt;Assumptions!$C$19,0,Assumptions!$C$18*(Y$5-Assumptions!$C$19+1)/Assumptions!$C$20)</f>
        <v>7058.8235294117649</v>
      </c>
      <c r="Z14" s="11">
        <f>IF(Z$5&lt;Assumptions!$C$19,0,Assumptions!$C$18*(Z$5-Assumptions!$C$19+1)/Assumptions!$C$20)</f>
        <v>7394.957983193277</v>
      </c>
      <c r="AA14" s="11">
        <f>IF(AA$5&lt;Assumptions!$C$19,0,Assumptions!$C$18*(AA$5-Assumptions!$C$19+1)/Assumptions!$C$20)</f>
        <v>7731.09243697479</v>
      </c>
      <c r="AB14" s="11">
        <f>IF(AB$5&lt;Assumptions!$C$19,0,Assumptions!$C$18*(AB$5-Assumptions!$C$19+1)/Assumptions!$C$20)</f>
        <v>8067.226890756303</v>
      </c>
      <c r="AC14" s="11">
        <f>IF(AC$5&lt;Assumptions!$C$19,0,Assumptions!$C$18*(AC$5-Assumptions!$C$19+1)/Assumptions!$C$20)</f>
        <v>8403.361344537816</v>
      </c>
      <c r="AD14" s="11">
        <f>IF(AD$5&lt;Assumptions!$C$19,0,Assumptions!$C$18*(AD$5-Assumptions!$C$19+1)/Assumptions!$C$20)</f>
        <v>8739.4957983193272</v>
      </c>
      <c r="AE14" s="11">
        <f>IF(AE$5&lt;Assumptions!$C$19,0,Assumptions!$C$18*(AE$5-Assumptions!$C$19+1)/Assumptions!$C$20)</f>
        <v>9075.6302521008402</v>
      </c>
      <c r="AF14" s="11">
        <f>IF(AF$5&lt;Assumptions!$C$19,0,Assumptions!$C$18*(AF$5-Assumptions!$C$19+1)/Assumptions!$C$20)</f>
        <v>9411.7647058823532</v>
      </c>
      <c r="AG14" s="11">
        <f>IF(AG$5&lt;Assumptions!$C$19,0,Assumptions!$C$18*(AG$5-Assumptions!$C$19+1)/Assumptions!$C$20)</f>
        <v>9747.8991596638662</v>
      </c>
      <c r="AH14" s="11">
        <f>IF(AH$5&lt;Assumptions!$C$19,0,Assumptions!$C$18*(AH$5-Assumptions!$C$19+1)/Assumptions!$C$20)</f>
        <v>10084.033613445377</v>
      </c>
      <c r="AI14" s="11">
        <f>IF(AI$5&lt;Assumptions!$C$19,0,Assumptions!$C$18*(AI$5-Assumptions!$C$19+1)/Assumptions!$C$20)</f>
        <v>10420.16806722689</v>
      </c>
      <c r="AJ14" s="11">
        <f>IF(AJ$5&lt;Assumptions!$C$19,0,Assumptions!$C$18*(AJ$5-Assumptions!$C$19+1)/Assumptions!$C$20)</f>
        <v>10756.302521008403</v>
      </c>
      <c r="AK14" s="11">
        <f>IF(AK$5&lt;Assumptions!$C$19,0,Assumptions!$C$18*(AK$5-Assumptions!$C$19+1)/Assumptions!$C$20)</f>
        <v>11092.436974789916</v>
      </c>
      <c r="AL14" s="11">
        <f>IF(AL$5&lt;Assumptions!$C$19,0,Assumptions!$C$18*(AL$5-Assumptions!$C$19+1)/Assumptions!$C$20)</f>
        <v>11428.571428571429</v>
      </c>
      <c r="AM14" s="11"/>
      <c r="AN14" s="11">
        <f>SUMIF($C$6:$AL$6,AN$6,$C14:$AL14)</f>
        <v>18487.394957983193</v>
      </c>
      <c r="AO14" s="11">
        <f t="shared" si="4"/>
        <v>66554.62184873948</v>
      </c>
      <c r="AP14" s="11">
        <f t="shared" si="4"/>
        <v>114957.98319327732</v>
      </c>
    </row>
    <row r="15" spans="2:42" x14ac:dyDescent="0.2">
      <c r="B15" t="s">
        <v>55</v>
      </c>
      <c r="C15" s="26">
        <f>-C10*Assumptions!$C$16</f>
        <v>-80</v>
      </c>
      <c r="D15" s="26">
        <f>-D10*Assumptions!$C$16</f>
        <v>-85.2</v>
      </c>
      <c r="E15" s="26">
        <f>-E10*Assumptions!$C$16</f>
        <v>-90.738000000000014</v>
      </c>
      <c r="F15" s="26">
        <f>-F10*Assumptions!$C$16</f>
        <v>-110.08134815126051</v>
      </c>
      <c r="G15" s="26">
        <f>-G10*Assumptions!$C$16</f>
        <v>-142.71562737773112</v>
      </c>
      <c r="H15" s="26">
        <f>-H10*Assumptions!$C$16</f>
        <v>-188.14945408165337</v>
      </c>
      <c r="I15" s="26">
        <f>-I10*Assumptions!$C$16</f>
        <v>-245.91371649612054</v>
      </c>
      <c r="J15" s="26">
        <f>-J10*Assumptions!$C$16</f>
        <v>-315.56085388349442</v>
      </c>
      <c r="K15" s="26">
        <f>-K10*Assumptions!$C$16</f>
        <v>-396.6641756205434</v>
      </c>
      <c r="L15" s="26">
        <f>-L10*Assumptions!$C$16</f>
        <v>-488.81721929338454</v>
      </c>
      <c r="M15" s="26">
        <f>-M10*Assumptions!$C$16</f>
        <v>-591.63314700709714</v>
      </c>
      <c r="N15" s="26">
        <f>-N10*Assumptions!$C$16</f>
        <v>-704.74417919642042</v>
      </c>
      <c r="O15" s="26">
        <f>-O10*Assumptions!$C$16</f>
        <v>-827.80106530546823</v>
      </c>
      <c r="P15" s="26">
        <f>-P10*Assumptions!$C$16</f>
        <v>-956.21439830300415</v>
      </c>
      <c r="Q15" s="26">
        <f>-Q10*Assumptions!$C$16</f>
        <v>-1093.4816247697345</v>
      </c>
      <c r="R15" s="26">
        <f>-R10*Assumptions!$C$16</f>
        <v>-1239.2703909124052</v>
      </c>
      <c r="S15" s="26">
        <f>-S10*Assumptions!$C$16</f>
        <v>-1393.2625091673126</v>
      </c>
      <c r="T15" s="26">
        <f>-T10*Assumptions!$C$16</f>
        <v>-1555.1534264342342</v>
      </c>
      <c r="U15" s="26">
        <f>-U10*Assumptions!$C$16</f>
        <v>-1724.6517149763279</v>
      </c>
      <c r="V15" s="26">
        <f>-V10*Assumptions!$C$16</f>
        <v>-1901.4785851351701</v>
      </c>
      <c r="W15" s="26">
        <f>-W10*Assumptions!$C$16</f>
        <v>-2085.367419046378</v>
      </c>
      <c r="X15" s="26">
        <f>-X10*Assumptions!$C$16</f>
        <v>-2276.0633245761546</v>
      </c>
      <c r="Y15" s="26">
        <f>-Y10*Assumptions!$C$16</f>
        <v>-2473.3227087327082</v>
      </c>
      <c r="Z15" s="26">
        <f>-Z10*Assumptions!$C$16</f>
        <v>-2676.9128698388358</v>
      </c>
      <c r="AA15" s="26">
        <f>-AA10*Assumptions!$C$16</f>
        <v>-2886.6116077831375</v>
      </c>
      <c r="AB15" s="26">
        <f>-AB10*Assumptions!$C$16</f>
        <v>-3099.479850354016</v>
      </c>
      <c r="AC15" s="26">
        <f>-AC10*Assumptions!$C$16</f>
        <v>-3317.8514116554165</v>
      </c>
      <c r="AD15" s="26">
        <f>-AD10*Assumptions!$C$16</f>
        <v>-3541.523339046581</v>
      </c>
      <c r="AE15" s="26">
        <f>-AE10*Assumptions!$C$16</f>
        <v>-3770.3013133956351</v>
      </c>
      <c r="AF15" s="26">
        <f>-AF10*Assumptions!$C$16</f>
        <v>-4003.9993192013321</v>
      </c>
      <c r="AG15" s="26">
        <f>-AG10*Assumptions!$C$16</f>
        <v>-4242.4393283737863</v>
      </c>
      <c r="AH15" s="26">
        <f>-AH10*Assumptions!$C$16</f>
        <v>-4485.4509971417592</v>
      </c>
      <c r="AI15" s="26">
        <f>-AI10*Assumptions!$C$16</f>
        <v>-4732.8713755757644</v>
      </c>
      <c r="AJ15" s="26">
        <f>-AJ10*Assumptions!$C$16</f>
        <v>-4984.5446292371262</v>
      </c>
      <c r="AK15" s="26">
        <f>-AK10*Assumptions!$C$16</f>
        <v>-5240.3217724831538</v>
      </c>
      <c r="AL15" s="26">
        <f>-AL10*Assumptions!$C$16</f>
        <v>-5500.0604129778549</v>
      </c>
      <c r="AN15" s="26">
        <f>SUMIF($C$6:$AL$6,AN$6,$C15:$AL15)</f>
        <v>-3440.2177211077051</v>
      </c>
      <c r="AO15" s="26">
        <f t="shared" si="4"/>
        <v>-20202.980037197733</v>
      </c>
      <c r="AP15" s="26">
        <f t="shared" si="4"/>
        <v>-49805.455357225568</v>
      </c>
    </row>
    <row r="16" spans="2:42" x14ac:dyDescent="0.2">
      <c r="B16" s="4" t="s">
        <v>56</v>
      </c>
      <c r="C16" s="27">
        <f>C10+C13+C14+C15</f>
        <v>2130</v>
      </c>
      <c r="D16" s="27">
        <f t="shared" ref="D16:AL16" si="5">D10+D13+D14+D15</f>
        <v>2268.4500000000003</v>
      </c>
      <c r="E16" s="27">
        <f t="shared" si="5"/>
        <v>2752.0337037815129</v>
      </c>
      <c r="F16" s="27">
        <f t="shared" si="5"/>
        <v>3567.8906844432777</v>
      </c>
      <c r="G16" s="27">
        <f t="shared" si="5"/>
        <v>4703.7363520413355</v>
      </c>
      <c r="H16" s="27">
        <f t="shared" si="5"/>
        <v>6147.8429124030135</v>
      </c>
      <c r="I16" s="27">
        <f t="shared" si="5"/>
        <v>7889.0213470873614</v>
      </c>
      <c r="J16" s="27">
        <f t="shared" si="5"/>
        <v>9916.6043905135848</v>
      </c>
      <c r="K16" s="27">
        <f t="shared" si="5"/>
        <v>12220.430482334617</v>
      </c>
      <c r="L16" s="27">
        <f t="shared" si="5"/>
        <v>14790.828675177429</v>
      </c>
      <c r="M16" s="27">
        <f t="shared" si="5"/>
        <v>17618.604479910511</v>
      </c>
      <c r="N16" s="27">
        <f t="shared" si="5"/>
        <v>20695.026632636709</v>
      </c>
      <c r="O16" s="27">
        <f t="shared" si="5"/>
        <v>23905.359957575096</v>
      </c>
      <c r="P16" s="27">
        <f t="shared" si="5"/>
        <v>27337.040619243362</v>
      </c>
      <c r="Q16" s="27">
        <f t="shared" si="5"/>
        <v>30981.759772810128</v>
      </c>
      <c r="R16" s="27">
        <f t="shared" si="5"/>
        <v>34831.562729182813</v>
      </c>
      <c r="S16" s="27">
        <f t="shared" si="5"/>
        <v>38878.835660855861</v>
      </c>
      <c r="T16" s="27">
        <f t="shared" si="5"/>
        <v>43116.292874408195</v>
      </c>
      <c r="U16" s="27">
        <f t="shared" si="5"/>
        <v>47536.964628379246</v>
      </c>
      <c r="V16" s="27">
        <f t="shared" si="5"/>
        <v>52134.185476159444</v>
      </c>
      <c r="W16" s="27">
        <f t="shared" si="5"/>
        <v>56901.583114403868</v>
      </c>
      <c r="X16" s="27">
        <f t="shared" si="5"/>
        <v>61833.067718317703</v>
      </c>
      <c r="Y16" s="27">
        <f t="shared" si="5"/>
        <v>66922.821745970883</v>
      </c>
      <c r="Z16" s="27">
        <f t="shared" si="5"/>
        <v>72165.29019457844</v>
      </c>
      <c r="AA16" s="27">
        <f t="shared" si="5"/>
        <v>77486.996258850413</v>
      </c>
      <c r="AB16" s="27">
        <f t="shared" si="5"/>
        <v>82946.2852913854</v>
      </c>
      <c r="AC16" s="27">
        <f t="shared" si="5"/>
        <v>88538.083476164524</v>
      </c>
      <c r="AD16" s="27">
        <f t="shared" si="5"/>
        <v>94257.532834890881</v>
      </c>
      <c r="AE16" s="27">
        <f t="shared" si="5"/>
        <v>100099.9829800333</v>
      </c>
      <c r="AF16" s="27">
        <f t="shared" si="5"/>
        <v>106060.98320934465</v>
      </c>
      <c r="AG16" s="27">
        <f t="shared" si="5"/>
        <v>112136.27492854396</v>
      </c>
      <c r="AH16" s="27">
        <f t="shared" si="5"/>
        <v>118321.78438939413</v>
      </c>
      <c r="AI16" s="27">
        <f t="shared" si="5"/>
        <v>124613.61573092816</v>
      </c>
      <c r="AJ16" s="27">
        <f t="shared" si="5"/>
        <v>131008.04431207886</v>
      </c>
      <c r="AK16" s="27">
        <f t="shared" si="5"/>
        <v>137501.5103244464</v>
      </c>
      <c r="AL16" s="27">
        <f t="shared" si="5"/>
        <v>144090.61267440254</v>
      </c>
      <c r="AN16" s="27" cm="1">
        <f t="array" ref="AN16">INDEX($C$16:$AL$16,AN$6*12)</f>
        <v>20695.026632636709</v>
      </c>
      <c r="AO16" s="27" cm="1">
        <f t="array" ref="AO16">INDEX($C$16:$AL$16,AO$6*12)</f>
        <v>72165.29019457844</v>
      </c>
      <c r="AP16" s="27" cm="1">
        <f t="array" ref="AP16">INDEX($C$16:$AL$16,AP$6*12)</f>
        <v>144090.61267440254</v>
      </c>
    </row>
    <row r="17" spans="2:42" x14ac:dyDescent="0.2">
      <c r="B17" t="s">
        <v>57</v>
      </c>
      <c r="C17" s="25">
        <f>AVERAGE(C10,C16)</f>
        <v>2065</v>
      </c>
      <c r="D17" s="25">
        <f>AVERAGE(D10,D16)</f>
        <v>2199.2250000000004</v>
      </c>
      <c r="E17" s="25">
        <f t="shared" ref="E17:AL17" si="6">AVERAGE(E10,E16)</f>
        <v>2510.2418518907566</v>
      </c>
      <c r="F17" s="25">
        <f t="shared" si="6"/>
        <v>3159.9621941123951</v>
      </c>
      <c r="G17" s="25">
        <f t="shared" si="6"/>
        <v>4135.8135182423066</v>
      </c>
      <c r="H17" s="25">
        <f t="shared" si="6"/>
        <v>5425.7896322221741</v>
      </c>
      <c r="I17" s="25">
        <f t="shared" si="6"/>
        <v>7018.4321297451879</v>
      </c>
      <c r="J17" s="25">
        <f t="shared" si="6"/>
        <v>8902.8128688004726</v>
      </c>
      <c r="K17" s="25">
        <f t="shared" si="6"/>
        <v>11068.517436424101</v>
      </c>
      <c r="L17" s="25">
        <f t="shared" si="6"/>
        <v>13505.629578756021</v>
      </c>
      <c r="M17" s="25">
        <f t="shared" si="6"/>
        <v>16204.71657754397</v>
      </c>
      <c r="N17" s="25">
        <f t="shared" si="6"/>
        <v>19156.81555627361</v>
      </c>
      <c r="O17" s="25">
        <f t="shared" si="6"/>
        <v>22300.193295105899</v>
      </c>
      <c r="P17" s="25">
        <f t="shared" si="6"/>
        <v>25621.200288409233</v>
      </c>
      <c r="Q17" s="25">
        <f t="shared" si="6"/>
        <v>29159.400196026745</v>
      </c>
      <c r="R17" s="25">
        <f t="shared" si="6"/>
        <v>32906.661250996476</v>
      </c>
      <c r="S17" s="25">
        <f t="shared" si="6"/>
        <v>36855.199195019333</v>
      </c>
      <c r="T17" s="25">
        <f t="shared" si="6"/>
        <v>40997.564267632028</v>
      </c>
      <c r="U17" s="25">
        <f t="shared" si="6"/>
        <v>45326.62875139372</v>
      </c>
      <c r="V17" s="25">
        <f t="shared" si="6"/>
        <v>49835.575052269349</v>
      </c>
      <c r="W17" s="25">
        <f t="shared" si="6"/>
        <v>54517.884295281656</v>
      </c>
      <c r="X17" s="25">
        <f t="shared" si="6"/>
        <v>59367.325416360785</v>
      </c>
      <c r="Y17" s="25">
        <f t="shared" si="6"/>
        <v>64377.944732144293</v>
      </c>
      <c r="Z17" s="25">
        <f t="shared" si="6"/>
        <v>69544.055970274669</v>
      </c>
      <c r="AA17" s="25">
        <f t="shared" si="6"/>
        <v>74826.143226714426</v>
      </c>
      <c r="AB17" s="25">
        <f t="shared" si="6"/>
        <v>80216.640775117907</v>
      </c>
      <c r="AC17" s="25">
        <f t="shared" si="6"/>
        <v>85742.184383774962</v>
      </c>
      <c r="AD17" s="25">
        <f t="shared" si="6"/>
        <v>91397.808155527702</v>
      </c>
      <c r="AE17" s="25">
        <f t="shared" si="6"/>
        <v>97178.757907462088</v>
      </c>
      <c r="AF17" s="25">
        <f t="shared" si="6"/>
        <v>103080.48309468897</v>
      </c>
      <c r="AG17" s="25">
        <f t="shared" si="6"/>
        <v>109098.62906894431</v>
      </c>
      <c r="AH17" s="25">
        <f t="shared" si="6"/>
        <v>115229.02965896906</v>
      </c>
      <c r="AI17" s="25">
        <f t="shared" si="6"/>
        <v>121467.70006016114</v>
      </c>
      <c r="AJ17" s="25">
        <f t="shared" si="6"/>
        <v>127810.8300215035</v>
      </c>
      <c r="AK17" s="25">
        <f t="shared" si="6"/>
        <v>134254.77731826261</v>
      </c>
      <c r="AL17" s="25">
        <f>AVERAGE(AL10,AL16)</f>
        <v>140796.06149942445</v>
      </c>
      <c r="AN17" s="25">
        <f>SUMIF($C$6:$AL$6,AN$6,$C17:$AL17)/12</f>
        <v>7946.0796953342497</v>
      </c>
      <c r="AO17" s="25">
        <f t="shared" ref="AO17:AP17" si="7">SUMIF($C$6:$AL$6,AO$6,$C17:$AL17)/12</f>
        <v>44234.136059242854</v>
      </c>
      <c r="AP17" s="25">
        <f t="shared" si="7"/>
        <v>106758.25376421261</v>
      </c>
    </row>
    <row r="19" spans="2:42" x14ac:dyDescent="0.2">
      <c r="B19" s="107" t="s">
        <v>58</v>
      </c>
    </row>
    <row r="20" spans="2:42" x14ac:dyDescent="0.2">
      <c r="B20" t="s">
        <v>59</v>
      </c>
      <c r="C20" s="25">
        <f>C17*Assumptions!$C$25</f>
        <v>33040</v>
      </c>
      <c r="D20" s="25">
        <f>D17*Assumptions!$C$25</f>
        <v>35187.600000000006</v>
      </c>
      <c r="E20" s="25">
        <f>E17*Assumptions!$C$25</f>
        <v>40163.869630252106</v>
      </c>
      <c r="F20" s="25">
        <f>F17*Assumptions!$C$25</f>
        <v>50559.395105798321</v>
      </c>
      <c r="G20" s="25">
        <f>G17*Assumptions!$C$25</f>
        <v>66173.016291876906</v>
      </c>
      <c r="H20" s="25">
        <f>H17*Assumptions!$C$25</f>
        <v>86812.634115554785</v>
      </c>
      <c r="I20" s="25">
        <f>I17*Assumptions!$C$25</f>
        <v>112294.91407592301</v>
      </c>
      <c r="J20" s="25">
        <f>J17*Assumptions!$C$25</f>
        <v>142445.00590080756</v>
      </c>
      <c r="K20" s="25">
        <f>K17*Assumptions!$C$25</f>
        <v>177096.27898278562</v>
      </c>
      <c r="L20" s="25">
        <f>L17*Assumptions!$C$25</f>
        <v>216090.07326009634</v>
      </c>
      <c r="M20" s="25">
        <f>M17*Assumptions!$C$25</f>
        <v>259275.46524070352</v>
      </c>
      <c r="N20" s="25">
        <f>N17*Assumptions!$C$25</f>
        <v>306509.04890037776</v>
      </c>
      <c r="O20" s="25">
        <f>O17*Assumptions!$C$25</f>
        <v>356803.09272169438</v>
      </c>
      <c r="P20" s="25">
        <f>P17*Assumptions!$C$25</f>
        <v>409939.20461454772</v>
      </c>
      <c r="Q20" s="25">
        <f>Q17*Assumptions!$C$25</f>
        <v>466550.40313642792</v>
      </c>
      <c r="R20" s="25">
        <f>R17*Assumptions!$C$25</f>
        <v>526506.58001594362</v>
      </c>
      <c r="S20" s="25">
        <f>S17*Assumptions!$C$25</f>
        <v>589683.18712030933</v>
      </c>
      <c r="T20" s="25">
        <f>T17*Assumptions!$C$25</f>
        <v>655961.02828211244</v>
      </c>
      <c r="U20" s="25">
        <f>U17*Assumptions!$C$25</f>
        <v>725226.06002229953</v>
      </c>
      <c r="V20" s="25">
        <f>V17*Assumptions!$C$25</f>
        <v>797369.20083630958</v>
      </c>
      <c r="W20" s="25">
        <f>W17*Assumptions!$C$25</f>
        <v>872286.14872450649</v>
      </c>
      <c r="X20" s="25">
        <f>X17*Assumptions!$C$25</f>
        <v>949877.20666177256</v>
      </c>
      <c r="Y20" s="25">
        <f>Y17*Assumptions!$C$25</f>
        <v>1030047.1157143087</v>
      </c>
      <c r="Z20" s="25">
        <f>Z17*Assumptions!$C$25</f>
        <v>1112704.8955243947</v>
      </c>
      <c r="AA20" s="25">
        <f>AA17*Assumptions!$C$25</f>
        <v>1197218.2916274308</v>
      </c>
      <c r="AB20" s="25">
        <f>AB17*Assumptions!$C$25</f>
        <v>1283466.2524018865</v>
      </c>
      <c r="AC20" s="25">
        <f>AC17*Assumptions!$C$25</f>
        <v>1371874.9501403994</v>
      </c>
      <c r="AD20" s="25">
        <f>AD17*Assumptions!$C$25</f>
        <v>1462364.9304884432</v>
      </c>
      <c r="AE20" s="25">
        <f>AE17*Assumptions!$C$25</f>
        <v>1554860.1265193934</v>
      </c>
      <c r="AF20" s="25">
        <f>AF17*Assumptions!$C$25</f>
        <v>1649287.7295150235</v>
      </c>
      <c r="AG20" s="25">
        <f>AG17*Assumptions!$C$25</f>
        <v>1745578.065103109</v>
      </c>
      <c r="AH20" s="25">
        <f>AH17*Assumptions!$C$25</f>
        <v>1843664.4745435049</v>
      </c>
      <c r="AI20" s="25">
        <f>AI17*Assumptions!$C$25</f>
        <v>1943483.2009625782</v>
      </c>
      <c r="AJ20" s="25">
        <f>AJ17*Assumptions!$C$25</f>
        <v>2044973.280344056</v>
      </c>
      <c r="AK20" s="25">
        <f>AK17*Assumptions!$C$25</f>
        <v>2148076.4370922018</v>
      </c>
      <c r="AL20" s="25">
        <f>AL17*Assumptions!$C$25</f>
        <v>2252736.9839907913</v>
      </c>
      <c r="AN20" s="25">
        <f>SUMIF($C$6:$AL$6,AN$6,$C20:$AL20)</f>
        <v>1525647.3015041759</v>
      </c>
      <c r="AO20" s="25">
        <f t="shared" ref="AO20:AP26" si="8">SUMIF($C$6:$AL$6,AO$6,$C20:$AL20)</f>
        <v>8492954.1233746279</v>
      </c>
      <c r="AP20" s="25">
        <f t="shared" si="8"/>
        <v>20497584.722728822</v>
      </c>
    </row>
    <row r="21" spans="2:42" x14ac:dyDescent="0.2">
      <c r="B21" s="4" t="s">
        <v>60</v>
      </c>
      <c r="C21" s="27">
        <f>C20*Assumptions!$C$26</f>
        <v>2065</v>
      </c>
      <c r="D21" s="27">
        <f>D20*Assumptions!$C$26</f>
        <v>2199.2250000000004</v>
      </c>
      <c r="E21" s="27">
        <f>E20*Assumptions!$C$26</f>
        <v>2510.2418518907566</v>
      </c>
      <c r="F21" s="27">
        <f>F20*Assumptions!$C$26</f>
        <v>3159.9621941123951</v>
      </c>
      <c r="G21" s="27">
        <f>G20*Assumptions!$C$26</f>
        <v>4135.8135182423066</v>
      </c>
      <c r="H21" s="27">
        <f>H20*Assumptions!$C$26</f>
        <v>5425.7896322221741</v>
      </c>
      <c r="I21" s="27">
        <f>I20*Assumptions!$C$26</f>
        <v>7018.4321297451879</v>
      </c>
      <c r="J21" s="27">
        <f>J20*Assumptions!$C$26</f>
        <v>8902.8128688004726</v>
      </c>
      <c r="K21" s="27">
        <f>K20*Assumptions!$C$26</f>
        <v>11068.517436424101</v>
      </c>
      <c r="L21" s="27">
        <f>L20*Assumptions!$C$26</f>
        <v>13505.629578756021</v>
      </c>
      <c r="M21" s="27">
        <f>M20*Assumptions!$C$26</f>
        <v>16204.71657754397</v>
      </c>
      <c r="N21" s="27">
        <f>N20*Assumptions!$C$26</f>
        <v>19156.81555627361</v>
      </c>
      <c r="O21" s="27">
        <f>O20*Assumptions!$C$26</f>
        <v>22300.193295105899</v>
      </c>
      <c r="P21" s="27">
        <f>P20*Assumptions!$C$26</f>
        <v>25621.200288409233</v>
      </c>
      <c r="Q21" s="27">
        <f>Q20*Assumptions!$C$26</f>
        <v>29159.400196026745</v>
      </c>
      <c r="R21" s="27">
        <f>R20*Assumptions!$C$26</f>
        <v>32906.661250996476</v>
      </c>
      <c r="S21" s="27">
        <f>S20*Assumptions!$C$26</f>
        <v>36855.199195019333</v>
      </c>
      <c r="T21" s="27">
        <f>T20*Assumptions!$C$26</f>
        <v>40997.564267632028</v>
      </c>
      <c r="U21" s="27">
        <f>U20*Assumptions!$C$26</f>
        <v>45326.62875139372</v>
      </c>
      <c r="V21" s="27">
        <f>V20*Assumptions!$C$26</f>
        <v>49835.575052269349</v>
      </c>
      <c r="W21" s="27">
        <f>W20*Assumptions!$C$26</f>
        <v>54517.884295281656</v>
      </c>
      <c r="X21" s="27">
        <f>X20*Assumptions!$C$26</f>
        <v>59367.325416360785</v>
      </c>
      <c r="Y21" s="27">
        <f>Y20*Assumptions!$C$26</f>
        <v>64377.944732144293</v>
      </c>
      <c r="Z21" s="27">
        <f>Z20*Assumptions!$C$26</f>
        <v>69544.055970274669</v>
      </c>
      <c r="AA21" s="27">
        <f>AA20*Assumptions!$C$26</f>
        <v>74826.143226714426</v>
      </c>
      <c r="AB21" s="27">
        <f>AB20*Assumptions!$C$26</f>
        <v>80216.640775117907</v>
      </c>
      <c r="AC21" s="27">
        <f>AC20*Assumptions!$C$26</f>
        <v>85742.184383774962</v>
      </c>
      <c r="AD21" s="27">
        <f>AD20*Assumptions!$C$26</f>
        <v>91397.808155527702</v>
      </c>
      <c r="AE21" s="27">
        <f>AE20*Assumptions!$C$26</f>
        <v>97178.757907462088</v>
      </c>
      <c r="AF21" s="27">
        <f>AF20*Assumptions!$C$26</f>
        <v>103080.48309468897</v>
      </c>
      <c r="AG21" s="27">
        <f>AG20*Assumptions!$C$26</f>
        <v>109098.62906894431</v>
      </c>
      <c r="AH21" s="27">
        <f>AH20*Assumptions!$C$26</f>
        <v>115229.02965896906</v>
      </c>
      <c r="AI21" s="27">
        <f>AI20*Assumptions!$C$26</f>
        <v>121467.70006016114</v>
      </c>
      <c r="AJ21" s="27">
        <f>AJ20*Assumptions!$C$26</f>
        <v>127810.8300215035</v>
      </c>
      <c r="AK21" s="27">
        <f>AK20*Assumptions!$C$26</f>
        <v>134254.77731826261</v>
      </c>
      <c r="AL21" s="27">
        <f>AL20*Assumptions!$C$26</f>
        <v>140796.06149942445</v>
      </c>
      <c r="AN21" s="27">
        <f>SUMIF($C$6:$AL$6,AN$6,$C21:$AL21)</f>
        <v>95352.956344010992</v>
      </c>
      <c r="AO21" s="27">
        <f t="shared" si="8"/>
        <v>530809.63271091424</v>
      </c>
      <c r="AP21" s="27">
        <f t="shared" si="8"/>
        <v>1281099.0451705514</v>
      </c>
    </row>
    <row r="22" spans="2:42" x14ac:dyDescent="0.2">
      <c r="B22" t="s">
        <v>61</v>
      </c>
      <c r="C22" s="25">
        <f>C$21*Assumptions!$E$35</f>
        <v>516.25</v>
      </c>
      <c r="D22" s="25">
        <f>D$21*Assumptions!$E$35</f>
        <v>549.80625000000009</v>
      </c>
      <c r="E22" s="25">
        <f>E$21*Assumptions!$E$35</f>
        <v>627.56046297268915</v>
      </c>
      <c r="F22" s="25">
        <f>F$21*Assumptions!$E$35</f>
        <v>789.99054852809877</v>
      </c>
      <c r="G22" s="25">
        <f>G$21*Assumptions!$E$35</f>
        <v>1033.9533795605766</v>
      </c>
      <c r="H22" s="25">
        <f>H$21*Assumptions!$E$35</f>
        <v>1356.4474080555435</v>
      </c>
      <c r="I22" s="25">
        <f>I$21*Assumptions!$E$35</f>
        <v>1754.608032436297</v>
      </c>
      <c r="J22" s="25">
        <f>J$21*Assumptions!$E$35</f>
        <v>2225.7032172001182</v>
      </c>
      <c r="K22" s="25">
        <f>K$21*Assumptions!$E$35</f>
        <v>2767.1293591060253</v>
      </c>
      <c r="L22" s="25">
        <f>L$21*Assumptions!$E$35</f>
        <v>3376.4073946890053</v>
      </c>
      <c r="M22" s="25">
        <f>M$21*Assumptions!$E$35</f>
        <v>4051.1791443859925</v>
      </c>
      <c r="N22" s="25">
        <f>N$21*Assumptions!$E$35</f>
        <v>4789.2038890684025</v>
      </c>
      <c r="O22" s="25">
        <f>O$21*Assumptions!$E$35</f>
        <v>5575.0483237764747</v>
      </c>
      <c r="P22" s="25">
        <f>P$21*Assumptions!$E$35</f>
        <v>6405.3000721023081</v>
      </c>
      <c r="Q22" s="25">
        <f>Q$21*Assumptions!$E$35</f>
        <v>7289.8500490066863</v>
      </c>
      <c r="R22" s="25">
        <f>R$21*Assumptions!$E$35</f>
        <v>8226.665312749119</v>
      </c>
      <c r="S22" s="25">
        <f>S$21*Assumptions!$E$35</f>
        <v>9213.7997987548333</v>
      </c>
      <c r="T22" s="25">
        <f>T$21*Assumptions!$E$35</f>
        <v>10249.391066908007</v>
      </c>
      <c r="U22" s="25">
        <f>U$21*Assumptions!$E$35</f>
        <v>11331.65718784843</v>
      </c>
      <c r="V22" s="25">
        <f>V$21*Assumptions!$E$35</f>
        <v>12458.893763067337</v>
      </c>
      <c r="W22" s="25">
        <f>W$21*Assumptions!$E$35</f>
        <v>13629.471073820414</v>
      </c>
      <c r="X22" s="25">
        <f>X$21*Assumptions!$E$35</f>
        <v>14841.831354090196</v>
      </c>
      <c r="Y22" s="25">
        <f>Y$21*Assumptions!$E$35</f>
        <v>16094.486183036073</v>
      </c>
      <c r="Z22" s="25">
        <f>Z$21*Assumptions!$E$35</f>
        <v>17386.013992568667</v>
      </c>
      <c r="AA22" s="25">
        <f>AA$21*Assumptions!$E$35</f>
        <v>18706.535806678607</v>
      </c>
      <c r="AB22" s="25">
        <f>AB$21*Assumptions!$E$35</f>
        <v>20054.160193779477</v>
      </c>
      <c r="AC22" s="25">
        <f>AC$21*Assumptions!$E$35</f>
        <v>21435.546095943741</v>
      </c>
      <c r="AD22" s="25">
        <f>AD$21*Assumptions!$E$35</f>
        <v>22849.452038881926</v>
      </c>
      <c r="AE22" s="25">
        <f>AE$21*Assumptions!$E$35</f>
        <v>24294.689476865522</v>
      </c>
      <c r="AF22" s="25">
        <f>AF$21*Assumptions!$E$35</f>
        <v>25770.120773672243</v>
      </c>
      <c r="AG22" s="25">
        <f>AG$21*Assumptions!$E$35</f>
        <v>27274.657267236078</v>
      </c>
      <c r="AH22" s="25">
        <f>AH$21*Assumptions!$E$35</f>
        <v>28807.257414742264</v>
      </c>
      <c r="AI22" s="25">
        <f>AI$21*Assumptions!$E$35</f>
        <v>30366.925015040284</v>
      </c>
      <c r="AJ22" s="25">
        <f>AJ$21*Assumptions!$E$35</f>
        <v>31952.707505375874</v>
      </c>
      <c r="AK22" s="25">
        <f>AK$21*Assumptions!$E$35</f>
        <v>33563.694329565653</v>
      </c>
      <c r="AL22" s="25">
        <f>AL$21*Assumptions!$E$35</f>
        <v>35199.015374856113</v>
      </c>
      <c r="AN22" s="25">
        <f>SUMIF($C$6:$AL$6,AN$6,$C22:$AL22)</f>
        <v>23838.239086002748</v>
      </c>
      <c r="AO22" s="25">
        <f t="shared" si="8"/>
        <v>132702.40817772856</v>
      </c>
      <c r="AP22" s="25">
        <f t="shared" si="8"/>
        <v>320274.76129263785</v>
      </c>
    </row>
    <row r="23" spans="2:42" x14ac:dyDescent="0.2">
      <c r="B23" t="s">
        <v>62</v>
      </c>
      <c r="C23" s="25">
        <f>C$21*Assumptions!$E$36</f>
        <v>516.25</v>
      </c>
      <c r="D23" s="25">
        <f>D$21*Assumptions!$E$36</f>
        <v>549.80625000000009</v>
      </c>
      <c r="E23" s="25">
        <f>E$21*Assumptions!$E$36</f>
        <v>627.56046297268915</v>
      </c>
      <c r="F23" s="25">
        <f>F$21*Assumptions!$E$36</f>
        <v>789.99054852809877</v>
      </c>
      <c r="G23" s="25">
        <f>G$21*Assumptions!$E$36</f>
        <v>1033.9533795605766</v>
      </c>
      <c r="H23" s="25">
        <f>H$21*Assumptions!$E$36</f>
        <v>1356.4474080555435</v>
      </c>
      <c r="I23" s="25">
        <f>I$21*Assumptions!$E$36</f>
        <v>1754.608032436297</v>
      </c>
      <c r="J23" s="25">
        <f>J$21*Assumptions!$E$36</f>
        <v>2225.7032172001182</v>
      </c>
      <c r="K23" s="25">
        <f>K$21*Assumptions!$E$36</f>
        <v>2767.1293591060253</v>
      </c>
      <c r="L23" s="25">
        <f>L$21*Assumptions!$E$36</f>
        <v>3376.4073946890053</v>
      </c>
      <c r="M23" s="25">
        <f>M$21*Assumptions!$E$36</f>
        <v>4051.1791443859925</v>
      </c>
      <c r="N23" s="25">
        <f>N$21*Assumptions!$E$36</f>
        <v>4789.2038890684025</v>
      </c>
      <c r="O23" s="25">
        <f>O$21*Assumptions!$E$36</f>
        <v>5575.0483237764747</v>
      </c>
      <c r="P23" s="25">
        <f>P$21*Assumptions!$E$36</f>
        <v>6405.3000721023081</v>
      </c>
      <c r="Q23" s="25">
        <f>Q$21*Assumptions!$E$36</f>
        <v>7289.8500490066863</v>
      </c>
      <c r="R23" s="25">
        <f>R$21*Assumptions!$E$36</f>
        <v>8226.665312749119</v>
      </c>
      <c r="S23" s="25">
        <f>S$21*Assumptions!$E$36</f>
        <v>9213.7997987548333</v>
      </c>
      <c r="T23" s="25">
        <f>T$21*Assumptions!$E$36</f>
        <v>10249.391066908007</v>
      </c>
      <c r="U23" s="25">
        <f>U$21*Assumptions!$E$36</f>
        <v>11331.65718784843</v>
      </c>
      <c r="V23" s="25">
        <f>V$21*Assumptions!$E$36</f>
        <v>12458.893763067337</v>
      </c>
      <c r="W23" s="25">
        <f>W$21*Assumptions!$E$36</f>
        <v>13629.471073820414</v>
      </c>
      <c r="X23" s="25">
        <f>X$21*Assumptions!$E$36</f>
        <v>14841.831354090196</v>
      </c>
      <c r="Y23" s="25">
        <f>Y$21*Assumptions!$E$36</f>
        <v>16094.486183036073</v>
      </c>
      <c r="Z23" s="25">
        <f>Z$21*Assumptions!$E$36</f>
        <v>17386.013992568667</v>
      </c>
      <c r="AA23" s="25">
        <f>AA$21*Assumptions!$E$36</f>
        <v>18706.535806678607</v>
      </c>
      <c r="AB23" s="25">
        <f>AB$21*Assumptions!$E$36</f>
        <v>20054.160193779477</v>
      </c>
      <c r="AC23" s="25">
        <f>AC$21*Assumptions!$E$36</f>
        <v>21435.546095943741</v>
      </c>
      <c r="AD23" s="25">
        <f>AD$21*Assumptions!$E$36</f>
        <v>22849.452038881926</v>
      </c>
      <c r="AE23" s="25">
        <f>AE$21*Assumptions!$E$36</f>
        <v>24294.689476865522</v>
      </c>
      <c r="AF23" s="25">
        <f>AF$21*Assumptions!$E$36</f>
        <v>25770.120773672243</v>
      </c>
      <c r="AG23" s="25">
        <f>AG$21*Assumptions!$E$36</f>
        <v>27274.657267236078</v>
      </c>
      <c r="AH23" s="25">
        <f>AH$21*Assumptions!$E$36</f>
        <v>28807.257414742264</v>
      </c>
      <c r="AI23" s="25">
        <f>AI$21*Assumptions!$E$36</f>
        <v>30366.925015040284</v>
      </c>
      <c r="AJ23" s="25">
        <f>AJ$21*Assumptions!$E$36</f>
        <v>31952.707505375874</v>
      </c>
      <c r="AK23" s="25">
        <f>AK$21*Assumptions!$E$36</f>
        <v>33563.694329565653</v>
      </c>
      <c r="AL23" s="25">
        <f>AL$21*Assumptions!$E$36</f>
        <v>35199.015374856113</v>
      </c>
      <c r="AN23" s="25">
        <f>SUMIF($C$6:$AL$6,AN$6,$C23:$AL23)</f>
        <v>23838.239086002748</v>
      </c>
      <c r="AO23" s="25">
        <f t="shared" si="8"/>
        <v>132702.40817772856</v>
      </c>
      <c r="AP23" s="25">
        <f t="shared" si="8"/>
        <v>320274.76129263785</v>
      </c>
    </row>
    <row r="24" spans="2:42" x14ac:dyDescent="0.2">
      <c r="B24" t="s">
        <v>63</v>
      </c>
      <c r="C24" s="25">
        <f>C$21*Assumptions!$E$37</f>
        <v>619.5</v>
      </c>
      <c r="D24" s="25">
        <f>D$21*Assumptions!$E$37</f>
        <v>659.76750000000004</v>
      </c>
      <c r="E24" s="25">
        <f>E$21*Assumptions!$E$37</f>
        <v>753.07255556722691</v>
      </c>
      <c r="F24" s="25">
        <f>F$21*Assumptions!$E$37</f>
        <v>947.98865823371852</v>
      </c>
      <c r="G24" s="25">
        <f>G$21*Assumptions!$E$37</f>
        <v>1240.744055472692</v>
      </c>
      <c r="H24" s="25">
        <f>H$21*Assumptions!$E$37</f>
        <v>1627.7368896666521</v>
      </c>
      <c r="I24" s="25">
        <f>I$21*Assumptions!$E$37</f>
        <v>2105.5296389235564</v>
      </c>
      <c r="J24" s="25">
        <f>J$21*Assumptions!$E$37</f>
        <v>2670.8438606401419</v>
      </c>
      <c r="K24" s="25">
        <f>K$21*Assumptions!$E$37</f>
        <v>3320.5552309272302</v>
      </c>
      <c r="L24" s="25">
        <f>L$21*Assumptions!$E$37</f>
        <v>4051.6888736268061</v>
      </c>
      <c r="M24" s="25">
        <f>M$21*Assumptions!$E$37</f>
        <v>4861.4149732631904</v>
      </c>
      <c r="N24" s="25">
        <f>N$21*Assumptions!$E$37</f>
        <v>5747.0446668820832</v>
      </c>
      <c r="O24" s="25">
        <f>O$21*Assumptions!$E$37</f>
        <v>6690.0579885317693</v>
      </c>
      <c r="P24" s="25">
        <f>P$21*Assumptions!$E$37</f>
        <v>7686.3600865227691</v>
      </c>
      <c r="Q24" s="25">
        <f>Q$21*Assumptions!$E$37</f>
        <v>8747.8200588080235</v>
      </c>
      <c r="R24" s="25">
        <f>R$21*Assumptions!$E$37</f>
        <v>9871.9983752989428</v>
      </c>
      <c r="S24" s="25">
        <f>S$21*Assumptions!$E$37</f>
        <v>11056.5597585058</v>
      </c>
      <c r="T24" s="25">
        <f>T$21*Assumptions!$E$37</f>
        <v>12299.269280289607</v>
      </c>
      <c r="U24" s="25">
        <f>U$21*Assumptions!$E$37</f>
        <v>13597.988625418116</v>
      </c>
      <c r="V24" s="25">
        <f>V$21*Assumptions!$E$37</f>
        <v>14950.672515680804</v>
      </c>
      <c r="W24" s="25">
        <f>W$21*Assumptions!$E$37</f>
        <v>16355.365288584497</v>
      </c>
      <c r="X24" s="25">
        <f>X$21*Assumptions!$E$37</f>
        <v>17810.197624908236</v>
      </c>
      <c r="Y24" s="25">
        <f>Y$21*Assumptions!$E$37</f>
        <v>19313.383419643287</v>
      </c>
      <c r="Z24" s="25">
        <f>Z$21*Assumptions!$E$37</f>
        <v>20863.216791082399</v>
      </c>
      <c r="AA24" s="25">
        <f>AA$21*Assumptions!$E$37</f>
        <v>22447.842968014327</v>
      </c>
      <c r="AB24" s="25">
        <f>AB$21*Assumptions!$E$37</f>
        <v>24064.992232535373</v>
      </c>
      <c r="AC24" s="25">
        <f>AC$21*Assumptions!$E$37</f>
        <v>25722.655315132488</v>
      </c>
      <c r="AD24" s="25">
        <f>AD$21*Assumptions!$E$37</f>
        <v>27419.342446658309</v>
      </c>
      <c r="AE24" s="25">
        <f>AE$21*Assumptions!$E$37</f>
        <v>29153.627372238625</v>
      </c>
      <c r="AF24" s="25">
        <f>AF$21*Assumptions!$E$37</f>
        <v>30924.144928406691</v>
      </c>
      <c r="AG24" s="25">
        <f>AG$21*Assumptions!$E$37</f>
        <v>32729.588720683292</v>
      </c>
      <c r="AH24" s="25">
        <f>AH$21*Assumptions!$E$37</f>
        <v>34568.708897690718</v>
      </c>
      <c r="AI24" s="25">
        <f>AI$21*Assumptions!$E$37</f>
        <v>36440.310018048338</v>
      </c>
      <c r="AJ24" s="25">
        <f>AJ$21*Assumptions!$E$37</f>
        <v>38343.249006451049</v>
      </c>
      <c r="AK24" s="25">
        <f>AK$21*Assumptions!$E$37</f>
        <v>40276.433195478785</v>
      </c>
      <c r="AL24" s="25">
        <f>AL$21*Assumptions!$E$37</f>
        <v>42238.818449827333</v>
      </c>
      <c r="AN24" s="25">
        <f>SUMIF($C$6:$AL$6,AN$6,$C24:$AL24)</f>
        <v>28605.8869032033</v>
      </c>
      <c r="AO24" s="25">
        <f t="shared" si="8"/>
        <v>159242.88981327426</v>
      </c>
      <c r="AP24" s="25">
        <f t="shared" si="8"/>
        <v>384329.71355116536</v>
      </c>
    </row>
    <row r="25" spans="2:42" x14ac:dyDescent="0.2">
      <c r="B25" t="s">
        <v>64</v>
      </c>
      <c r="C25" s="25">
        <f>C$21*Assumptions!$E$38</f>
        <v>309.75</v>
      </c>
      <c r="D25" s="25">
        <f>D$21*Assumptions!$E$38</f>
        <v>329.88375000000002</v>
      </c>
      <c r="E25" s="25">
        <f>E$21*Assumptions!$E$38</f>
        <v>376.53627778361346</v>
      </c>
      <c r="F25" s="25">
        <f>F$21*Assumptions!$E$38</f>
        <v>473.99432911685926</v>
      </c>
      <c r="G25" s="25">
        <f>G$21*Assumptions!$E$38</f>
        <v>620.37202773634601</v>
      </c>
      <c r="H25" s="25">
        <f>H$21*Assumptions!$E$38</f>
        <v>813.86844483332607</v>
      </c>
      <c r="I25" s="25">
        <f>I$21*Assumptions!$E$38</f>
        <v>1052.7648194617782</v>
      </c>
      <c r="J25" s="25">
        <f>J$21*Assumptions!$E$38</f>
        <v>1335.4219303200709</v>
      </c>
      <c r="K25" s="25">
        <f>K$21*Assumptions!$E$38</f>
        <v>1660.2776154636151</v>
      </c>
      <c r="L25" s="25">
        <f>L$21*Assumptions!$E$38</f>
        <v>2025.844436813403</v>
      </c>
      <c r="M25" s="25">
        <f>M$21*Assumptions!$E$38</f>
        <v>2430.7074866315952</v>
      </c>
      <c r="N25" s="25">
        <f>N$21*Assumptions!$E$38</f>
        <v>2873.5223334410416</v>
      </c>
      <c r="O25" s="25">
        <f>O$21*Assumptions!$E$38</f>
        <v>3345.0289942658846</v>
      </c>
      <c r="P25" s="25">
        <f>P$21*Assumptions!$E$38</f>
        <v>3843.1800432613845</v>
      </c>
      <c r="Q25" s="25">
        <f>Q$21*Assumptions!$E$38</f>
        <v>4373.9100294040118</v>
      </c>
      <c r="R25" s="25">
        <f>R$21*Assumptions!$E$38</f>
        <v>4935.9991876494714</v>
      </c>
      <c r="S25" s="25">
        <f>S$21*Assumptions!$E$38</f>
        <v>5528.2798792529002</v>
      </c>
      <c r="T25" s="25">
        <f>T$21*Assumptions!$E$38</f>
        <v>6149.6346401448036</v>
      </c>
      <c r="U25" s="25">
        <f>U$21*Assumptions!$E$38</f>
        <v>6798.9943127090582</v>
      </c>
      <c r="V25" s="25">
        <f>V$21*Assumptions!$E$38</f>
        <v>7475.3362578404021</v>
      </c>
      <c r="W25" s="25">
        <f>W$21*Assumptions!$E$38</f>
        <v>8177.6826442922484</v>
      </c>
      <c r="X25" s="25">
        <f>X$21*Assumptions!$E$38</f>
        <v>8905.0988124541182</v>
      </c>
      <c r="Y25" s="25">
        <f>Y$21*Assumptions!$E$38</f>
        <v>9656.6917098216436</v>
      </c>
      <c r="Z25" s="25">
        <f>Z$21*Assumptions!$E$38</f>
        <v>10431.6083955412</v>
      </c>
      <c r="AA25" s="25">
        <f>AA$21*Assumptions!$E$38</f>
        <v>11223.921484007164</v>
      </c>
      <c r="AB25" s="25">
        <f>AB$21*Assumptions!$E$38</f>
        <v>12032.496116267686</v>
      </c>
      <c r="AC25" s="25">
        <f>AC$21*Assumptions!$E$38</f>
        <v>12861.327657566244</v>
      </c>
      <c r="AD25" s="25">
        <f>AD$21*Assumptions!$E$38</f>
        <v>13709.671223329155</v>
      </c>
      <c r="AE25" s="25">
        <f>AE$21*Assumptions!$E$38</f>
        <v>14576.813686119312</v>
      </c>
      <c r="AF25" s="25">
        <f>AF$21*Assumptions!$E$38</f>
        <v>15462.072464203346</v>
      </c>
      <c r="AG25" s="25">
        <f>AG$21*Assumptions!$E$38</f>
        <v>16364.794360341646</v>
      </c>
      <c r="AH25" s="25">
        <f>AH$21*Assumptions!$E$38</f>
        <v>17284.354448845359</v>
      </c>
      <c r="AI25" s="25">
        <f>AI$21*Assumptions!$E$38</f>
        <v>18220.155009024169</v>
      </c>
      <c r="AJ25" s="25">
        <f>AJ$21*Assumptions!$E$38</f>
        <v>19171.624503225525</v>
      </c>
      <c r="AK25" s="25">
        <f>AK$21*Assumptions!$E$38</f>
        <v>20138.216597739392</v>
      </c>
      <c r="AL25" s="25">
        <f>AL$21*Assumptions!$E$38</f>
        <v>21119.409224913667</v>
      </c>
      <c r="AN25" s="25">
        <f>SUMIF($C$6:$AL$6,AN$6,$C25:$AL25)</f>
        <v>14302.94345160165</v>
      </c>
      <c r="AO25" s="25">
        <f t="shared" si="8"/>
        <v>79621.444906637131</v>
      </c>
      <c r="AP25" s="25">
        <f t="shared" si="8"/>
        <v>192164.85677558268</v>
      </c>
    </row>
    <row r="26" spans="2:42" x14ac:dyDescent="0.2">
      <c r="B26" t="s">
        <v>65</v>
      </c>
      <c r="C26" s="25">
        <f>C$21*Assumptions!$E$39</f>
        <v>103.25</v>
      </c>
      <c r="D26" s="25">
        <f>D$21*Assumptions!$E$39</f>
        <v>109.96125000000002</v>
      </c>
      <c r="E26" s="25">
        <f>E$21*Assumptions!$E$39</f>
        <v>125.51209259453783</v>
      </c>
      <c r="F26" s="25">
        <f>F$21*Assumptions!$E$39</f>
        <v>157.99810970561975</v>
      </c>
      <c r="G26" s="25">
        <f>G$21*Assumptions!$E$39</f>
        <v>206.79067591211535</v>
      </c>
      <c r="H26" s="25">
        <f>H$21*Assumptions!$E$39</f>
        <v>271.28948161110873</v>
      </c>
      <c r="I26" s="25">
        <f>I$21*Assumptions!$E$39</f>
        <v>350.9216064872594</v>
      </c>
      <c r="J26" s="25">
        <f>J$21*Assumptions!$E$39</f>
        <v>445.14064344002367</v>
      </c>
      <c r="K26" s="25">
        <f>K$21*Assumptions!$E$39</f>
        <v>553.42587182120508</v>
      </c>
      <c r="L26" s="25">
        <f>L$21*Assumptions!$E$39</f>
        <v>675.28147893780113</v>
      </c>
      <c r="M26" s="25">
        <f>M$21*Assumptions!$E$39</f>
        <v>810.23582887719851</v>
      </c>
      <c r="N26" s="25">
        <f>N$21*Assumptions!$E$39</f>
        <v>957.84077781368057</v>
      </c>
      <c r="O26" s="25">
        <f>O$21*Assumptions!$E$39</f>
        <v>1115.009664755295</v>
      </c>
      <c r="P26" s="25">
        <f>P$21*Assumptions!$E$39</f>
        <v>1281.0600144204618</v>
      </c>
      <c r="Q26" s="25">
        <f>Q$21*Assumptions!$E$39</f>
        <v>1457.9700098013373</v>
      </c>
      <c r="R26" s="25">
        <f>R$21*Assumptions!$E$39</f>
        <v>1645.3330625498238</v>
      </c>
      <c r="S26" s="25">
        <f>S$21*Assumptions!$E$39</f>
        <v>1842.7599597509668</v>
      </c>
      <c r="T26" s="25">
        <f>T$21*Assumptions!$E$39</f>
        <v>2049.8782133816017</v>
      </c>
      <c r="U26" s="25">
        <f>U$21*Assumptions!$E$39</f>
        <v>2266.3314375696859</v>
      </c>
      <c r="V26" s="25">
        <f>V$21*Assumptions!$E$39</f>
        <v>2491.7787526134675</v>
      </c>
      <c r="W26" s="25">
        <f>W$21*Assumptions!$E$39</f>
        <v>2725.8942147640828</v>
      </c>
      <c r="X26" s="25">
        <f>X$21*Assumptions!$E$39</f>
        <v>2968.3662708180395</v>
      </c>
      <c r="Y26" s="25">
        <f>Y$21*Assumptions!$E$39</f>
        <v>3218.8972366072148</v>
      </c>
      <c r="Z26" s="25">
        <f>Z$21*Assumptions!$E$39</f>
        <v>3477.2027985137338</v>
      </c>
      <c r="AA26" s="25">
        <f>AA$21*Assumptions!$E$39</f>
        <v>3741.3071613357215</v>
      </c>
      <c r="AB26" s="25">
        <f>AB$21*Assumptions!$E$39</f>
        <v>4010.8320387558956</v>
      </c>
      <c r="AC26" s="25">
        <f>AC$21*Assumptions!$E$39</f>
        <v>4287.1092191887483</v>
      </c>
      <c r="AD26" s="25">
        <f>AD$21*Assumptions!$E$39</f>
        <v>4569.8904077763855</v>
      </c>
      <c r="AE26" s="25">
        <f>AE$21*Assumptions!$E$39</f>
        <v>4858.9378953731048</v>
      </c>
      <c r="AF26" s="25">
        <f>AF$21*Assumptions!$E$39</f>
        <v>5154.0241547344485</v>
      </c>
      <c r="AG26" s="25">
        <f>AG$21*Assumptions!$E$39</f>
        <v>5454.931453447216</v>
      </c>
      <c r="AH26" s="25">
        <f>AH$21*Assumptions!$E$39</f>
        <v>5761.4514829484533</v>
      </c>
      <c r="AI26" s="25">
        <f>AI$21*Assumptions!$E$39</f>
        <v>6073.3850030080575</v>
      </c>
      <c r="AJ26" s="25">
        <f>AJ$21*Assumptions!$E$39</f>
        <v>6390.5415010751749</v>
      </c>
      <c r="AK26" s="25">
        <f>AK$21*Assumptions!$E$39</f>
        <v>6712.7388659131311</v>
      </c>
      <c r="AL26" s="25">
        <f>AL$21*Assumptions!$E$39</f>
        <v>7039.8030749712234</v>
      </c>
      <c r="AN26" s="25">
        <f>SUMIF($C$6:$AL$6,AN$6,$C26:$AL26)</f>
        <v>4767.64781720055</v>
      </c>
      <c r="AO26" s="25">
        <f t="shared" si="8"/>
        <v>26540.481635545708</v>
      </c>
      <c r="AP26" s="25">
        <f t="shared" si="8"/>
        <v>64054.952258527555</v>
      </c>
    </row>
    <row r="28" spans="2:42" x14ac:dyDescent="0.2">
      <c r="B28" s="107" t="s">
        <v>133</v>
      </c>
    </row>
    <row r="29" spans="2:42" x14ac:dyDescent="0.2">
      <c r="B29" t="s">
        <v>66</v>
      </c>
      <c r="C29" s="57">
        <f>C22*Assumptions!$C$35</f>
        <v>516.25</v>
      </c>
      <c r="D29" s="57">
        <f>D22*Assumptions!$C$35</f>
        <v>549.80625000000009</v>
      </c>
      <c r="E29" s="57">
        <f>E22*Assumptions!$C$35</f>
        <v>627.56046297268915</v>
      </c>
      <c r="F29" s="57">
        <f>F22*Assumptions!$C$35</f>
        <v>789.99054852809877</v>
      </c>
      <c r="G29" s="57">
        <f>G22*Assumptions!$C$35</f>
        <v>1033.9533795605766</v>
      </c>
      <c r="H29" s="57">
        <f>H22*Assumptions!$C$35</f>
        <v>1356.4474080555435</v>
      </c>
      <c r="I29" s="57">
        <f>I22*Assumptions!$C$35</f>
        <v>1754.608032436297</v>
      </c>
      <c r="J29" s="57">
        <f>J22*Assumptions!$C$35</f>
        <v>2225.7032172001182</v>
      </c>
      <c r="K29" s="57">
        <f>K22*Assumptions!$C$35</f>
        <v>2767.1293591060253</v>
      </c>
      <c r="L29" s="57">
        <f>L22*Assumptions!$C$35</f>
        <v>3376.4073946890053</v>
      </c>
      <c r="M29" s="57">
        <f>M22*Assumptions!$C$35</f>
        <v>4051.1791443859925</v>
      </c>
      <c r="N29" s="57">
        <f>N22*Assumptions!$C$35</f>
        <v>4789.2038890684025</v>
      </c>
      <c r="O29" s="57">
        <f>O22*Assumptions!$C$35</f>
        <v>5575.0483237764747</v>
      </c>
      <c r="P29" s="57">
        <f>P22*Assumptions!$C$35</f>
        <v>6405.3000721023081</v>
      </c>
      <c r="Q29" s="57">
        <f>Q22*Assumptions!$C$35</f>
        <v>7289.8500490066863</v>
      </c>
      <c r="R29" s="57">
        <f>R22*Assumptions!$C$35</f>
        <v>8226.665312749119</v>
      </c>
      <c r="S29" s="57">
        <f>S22*Assumptions!$C$35</f>
        <v>9213.7997987548333</v>
      </c>
      <c r="T29" s="57">
        <f>T22*Assumptions!$C$35</f>
        <v>10249.391066908007</v>
      </c>
      <c r="U29" s="57">
        <f>U22*Assumptions!$C$35</f>
        <v>11331.65718784843</v>
      </c>
      <c r="V29" s="57">
        <f>V22*Assumptions!$C$35</f>
        <v>12458.893763067337</v>
      </c>
      <c r="W29" s="57">
        <f>W22*Assumptions!$C$35</f>
        <v>13629.471073820414</v>
      </c>
      <c r="X29" s="57">
        <f>X22*Assumptions!$C$35</f>
        <v>14841.831354090196</v>
      </c>
      <c r="Y29" s="57">
        <f>Y22*Assumptions!$C$35</f>
        <v>16094.486183036073</v>
      </c>
      <c r="Z29" s="57">
        <f>Z22*Assumptions!$C$35</f>
        <v>17386.013992568667</v>
      </c>
      <c r="AA29" s="57">
        <f>AA22*Assumptions!$C$35</f>
        <v>18706.535806678607</v>
      </c>
      <c r="AB29" s="57">
        <f>AB22*Assumptions!$C$35</f>
        <v>20054.160193779477</v>
      </c>
      <c r="AC29" s="57">
        <f>AC22*Assumptions!$C$35</f>
        <v>21435.546095943741</v>
      </c>
      <c r="AD29" s="57">
        <f>AD22*Assumptions!$C$35</f>
        <v>22849.452038881926</v>
      </c>
      <c r="AE29" s="57">
        <f>AE22*Assumptions!$C$35</f>
        <v>24294.689476865522</v>
      </c>
      <c r="AF29" s="57">
        <f>AF22*Assumptions!$C$35</f>
        <v>25770.120773672243</v>
      </c>
      <c r="AG29" s="57">
        <f>AG22*Assumptions!$C$35</f>
        <v>27274.657267236078</v>
      </c>
      <c r="AH29" s="57">
        <f>AH22*Assumptions!$C$35</f>
        <v>28807.257414742264</v>
      </c>
      <c r="AI29" s="57">
        <f>AI22*Assumptions!$C$35</f>
        <v>30366.925015040284</v>
      </c>
      <c r="AJ29" s="57">
        <f>AJ22*Assumptions!$C$35</f>
        <v>31952.707505375874</v>
      </c>
      <c r="AK29" s="57">
        <f>AK22*Assumptions!$C$35</f>
        <v>33563.694329565653</v>
      </c>
      <c r="AL29" s="57">
        <f>AL22*Assumptions!$C$35</f>
        <v>35199.015374856113</v>
      </c>
      <c r="AM29" s="57"/>
      <c r="AN29" s="57">
        <f>SUMIF($C$6:$AL$6,AN$6,$C29:$AL29)</f>
        <v>23838.239086002748</v>
      </c>
      <c r="AO29" s="57">
        <f t="shared" ref="AO29:AP34" si="9">SUMIF($C$6:$AL$6,AO$6,$C29:$AL29)</f>
        <v>132702.40817772856</v>
      </c>
      <c r="AP29" s="57">
        <f t="shared" si="9"/>
        <v>320274.76129263785</v>
      </c>
    </row>
    <row r="30" spans="2:42" x14ac:dyDescent="0.2">
      <c r="B30" t="s">
        <v>67</v>
      </c>
      <c r="C30" s="57">
        <f>C23*Assumptions!$C$36</f>
        <v>2581.25</v>
      </c>
      <c r="D30" s="57">
        <f>D23*Assumptions!$C$36</f>
        <v>2749.0312500000005</v>
      </c>
      <c r="E30" s="57">
        <f>E23*Assumptions!$C$36</f>
        <v>3137.8023148634456</v>
      </c>
      <c r="F30" s="57">
        <f>F23*Assumptions!$C$36</f>
        <v>3949.9527426404939</v>
      </c>
      <c r="G30" s="57">
        <f>G23*Assumptions!$C$36</f>
        <v>5169.7668978028832</v>
      </c>
      <c r="H30" s="57">
        <f>H23*Assumptions!$C$36</f>
        <v>6782.2370402777178</v>
      </c>
      <c r="I30" s="57">
        <f>I23*Assumptions!$C$36</f>
        <v>8773.0401621814854</v>
      </c>
      <c r="J30" s="57">
        <f>J23*Assumptions!$C$36</f>
        <v>11128.516086000591</v>
      </c>
      <c r="K30" s="57">
        <f>K23*Assumptions!$C$36</f>
        <v>13835.646795530127</v>
      </c>
      <c r="L30" s="57">
        <f>L23*Assumptions!$C$36</f>
        <v>16882.036973445025</v>
      </c>
      <c r="M30" s="57">
        <f>M23*Assumptions!$C$36</f>
        <v>20255.895721929963</v>
      </c>
      <c r="N30" s="57">
        <f>N23*Assumptions!$C$36</f>
        <v>23946.019445342012</v>
      </c>
      <c r="O30" s="57">
        <f>O23*Assumptions!$C$36</f>
        <v>27875.241618882374</v>
      </c>
      <c r="P30" s="57">
        <f>P23*Assumptions!$C$36</f>
        <v>32026.500360511542</v>
      </c>
      <c r="Q30" s="57">
        <f>Q23*Assumptions!$C$36</f>
        <v>36449.250245033429</v>
      </c>
      <c r="R30" s="57">
        <f>R23*Assumptions!$C$36</f>
        <v>41133.326563745592</v>
      </c>
      <c r="S30" s="57">
        <f>S23*Assumptions!$C$36</f>
        <v>46068.998993774163</v>
      </c>
      <c r="T30" s="57">
        <f>T23*Assumptions!$C$36</f>
        <v>51246.955334540035</v>
      </c>
      <c r="U30" s="57">
        <f>U23*Assumptions!$C$36</f>
        <v>56658.285939242152</v>
      </c>
      <c r="V30" s="57">
        <f>V23*Assumptions!$C$36</f>
        <v>62294.468815336688</v>
      </c>
      <c r="W30" s="57">
        <f>W23*Assumptions!$C$36</f>
        <v>68147.355369102064</v>
      </c>
      <c r="X30" s="57">
        <f>X23*Assumptions!$C$36</f>
        <v>74209.15677045098</v>
      </c>
      <c r="Y30" s="57">
        <f>Y23*Assumptions!$C$36</f>
        <v>80472.430915180361</v>
      </c>
      <c r="Z30" s="57">
        <f>Z23*Assumptions!$C$36</f>
        <v>86930.069962843336</v>
      </c>
      <c r="AA30" s="57">
        <f>AA23*Assumptions!$C$36</f>
        <v>93532.67903339304</v>
      </c>
      <c r="AB30" s="57">
        <f>AB23*Assumptions!$C$36</f>
        <v>100270.80096889738</v>
      </c>
      <c r="AC30" s="57">
        <f>AC23*Assumptions!$C$36</f>
        <v>107177.73047971871</v>
      </c>
      <c r="AD30" s="57">
        <f>AD23*Assumptions!$C$36</f>
        <v>114247.26019440962</v>
      </c>
      <c r="AE30" s="57">
        <f>AE23*Assumptions!$C$36</f>
        <v>121473.44738432761</v>
      </c>
      <c r="AF30" s="57">
        <f>AF23*Assumptions!$C$36</f>
        <v>128850.60386836121</v>
      </c>
      <c r="AG30" s="57">
        <f>AG23*Assumptions!$C$36</f>
        <v>136373.2863361804</v>
      </c>
      <c r="AH30" s="57">
        <f>AH23*Assumptions!$C$36</f>
        <v>144036.28707371131</v>
      </c>
      <c r="AI30" s="57">
        <f>AI23*Assumptions!$C$36</f>
        <v>151834.62507520142</v>
      </c>
      <c r="AJ30" s="57">
        <f>AJ23*Assumptions!$C$36</f>
        <v>159763.53752687937</v>
      </c>
      <c r="AK30" s="57">
        <f>AK23*Assumptions!$C$36</f>
        <v>167818.47164782826</v>
      </c>
      <c r="AL30" s="57">
        <f>AL23*Assumptions!$C$36</f>
        <v>175995.07687428058</v>
      </c>
      <c r="AM30" s="57"/>
      <c r="AN30" s="57">
        <f>SUMIF($C$6:$AL$6,AN$6,$C30:$AL30)</f>
        <v>119191.19543001374</v>
      </c>
      <c r="AO30" s="57">
        <f t="shared" si="9"/>
        <v>663512.04088864278</v>
      </c>
      <c r="AP30" s="57">
        <f t="shared" si="9"/>
        <v>1601373.8064631892</v>
      </c>
    </row>
    <row r="31" spans="2:42" x14ac:dyDescent="0.2">
      <c r="B31" t="s">
        <v>68</v>
      </c>
      <c r="C31" s="57">
        <f>C24*Assumptions!$C$37</f>
        <v>6195</v>
      </c>
      <c r="D31" s="57">
        <f>D24*Assumptions!$C$37</f>
        <v>6597.6750000000002</v>
      </c>
      <c r="E31" s="57">
        <f>E24*Assumptions!$C$37</f>
        <v>7530.7255556722694</v>
      </c>
      <c r="F31" s="57">
        <f>F24*Assumptions!$C$37</f>
        <v>9479.8865823371852</v>
      </c>
      <c r="G31" s="57">
        <f>G24*Assumptions!$C$37</f>
        <v>12407.44055472692</v>
      </c>
      <c r="H31" s="57">
        <f>H24*Assumptions!$C$37</f>
        <v>16277.368896666521</v>
      </c>
      <c r="I31" s="57">
        <f>I24*Assumptions!$C$37</f>
        <v>21055.296389235562</v>
      </c>
      <c r="J31" s="57">
        <f>J24*Assumptions!$C$37</f>
        <v>26708.438606401418</v>
      </c>
      <c r="K31" s="57">
        <f>K24*Assumptions!$C$37</f>
        <v>33205.552309272301</v>
      </c>
      <c r="L31" s="57">
        <f>L24*Assumptions!$C$37</f>
        <v>40516.888736268062</v>
      </c>
      <c r="M31" s="57">
        <f>M24*Assumptions!$C$37</f>
        <v>48614.149732631908</v>
      </c>
      <c r="N31" s="57">
        <f>N24*Assumptions!$C$37</f>
        <v>57470.446668820834</v>
      </c>
      <c r="O31" s="57">
        <f>O24*Assumptions!$C$37</f>
        <v>66900.579885317697</v>
      </c>
      <c r="P31" s="57">
        <f>P24*Assumptions!$C$37</f>
        <v>76863.600865227694</v>
      </c>
      <c r="Q31" s="57">
        <f>Q24*Assumptions!$C$37</f>
        <v>87478.200588080232</v>
      </c>
      <c r="R31" s="57">
        <f>R24*Assumptions!$C$37</f>
        <v>98719.983752989428</v>
      </c>
      <c r="S31" s="57">
        <f>S24*Assumptions!$C$37</f>
        <v>110565.597585058</v>
      </c>
      <c r="T31" s="57">
        <f>T24*Assumptions!$C$37</f>
        <v>122992.69280289607</v>
      </c>
      <c r="U31" s="57">
        <f>U24*Assumptions!$C$37</f>
        <v>135979.88625418115</v>
      </c>
      <c r="V31" s="57">
        <f>V24*Assumptions!$C$37</f>
        <v>149506.72515680804</v>
      </c>
      <c r="W31" s="57">
        <f>W24*Assumptions!$C$37</f>
        <v>163553.65288584496</v>
      </c>
      <c r="X31" s="57">
        <f>X24*Assumptions!$C$37</f>
        <v>178101.97624908236</v>
      </c>
      <c r="Y31" s="57">
        <f>Y24*Assumptions!$C$37</f>
        <v>193133.83419643287</v>
      </c>
      <c r="Z31" s="57">
        <f>Z24*Assumptions!$C$37</f>
        <v>208632.16791082401</v>
      </c>
      <c r="AA31" s="57">
        <f>AA24*Assumptions!$C$37</f>
        <v>224478.42968014328</v>
      </c>
      <c r="AB31" s="57">
        <f>AB24*Assumptions!$C$37</f>
        <v>240649.92232535372</v>
      </c>
      <c r="AC31" s="57">
        <f>AC24*Assumptions!$C$37</f>
        <v>257226.55315132489</v>
      </c>
      <c r="AD31" s="57">
        <f>AD24*Assumptions!$C$37</f>
        <v>274193.42446658306</v>
      </c>
      <c r="AE31" s="57">
        <f>AE24*Assumptions!$C$37</f>
        <v>291536.27372238622</v>
      </c>
      <c r="AF31" s="57">
        <f>AF24*Assumptions!$C$37</f>
        <v>309241.44928406691</v>
      </c>
      <c r="AG31" s="57">
        <f>AG24*Assumptions!$C$37</f>
        <v>327295.88720683294</v>
      </c>
      <c r="AH31" s="57">
        <f>AH24*Assumptions!$C$37</f>
        <v>345687.08897690719</v>
      </c>
      <c r="AI31" s="57">
        <f>AI24*Assumptions!$C$37</f>
        <v>364403.10018048336</v>
      </c>
      <c r="AJ31" s="57">
        <f>AJ24*Assumptions!$C$37</f>
        <v>383432.49006451049</v>
      </c>
      <c r="AK31" s="57">
        <f>AK24*Assumptions!$C$37</f>
        <v>402764.33195478783</v>
      </c>
      <c r="AL31" s="57">
        <f>AL24*Assumptions!$C$37</f>
        <v>422388.1844982733</v>
      </c>
      <c r="AM31" s="57"/>
      <c r="AN31" s="57">
        <f>SUMIF($C$6:$AL$6,AN$6,$C31:$AL31)</f>
        <v>286058.86903203302</v>
      </c>
      <c r="AO31" s="57">
        <f t="shared" si="9"/>
        <v>1592428.8981327426</v>
      </c>
      <c r="AP31" s="57">
        <f t="shared" si="9"/>
        <v>3843297.1355116535</v>
      </c>
    </row>
    <row r="32" spans="2:42" x14ac:dyDescent="0.2">
      <c r="B32" t="s">
        <v>69</v>
      </c>
      <c r="C32" s="57">
        <f>C25*Assumptions!$C$38</f>
        <v>15487.5</v>
      </c>
      <c r="D32" s="57">
        <f>D25*Assumptions!$C$38</f>
        <v>16494.1875</v>
      </c>
      <c r="E32" s="57">
        <f>E25*Assumptions!$C$38</f>
        <v>18826.813889180674</v>
      </c>
      <c r="F32" s="57">
        <f>F25*Assumptions!$C$38</f>
        <v>23699.716455842965</v>
      </c>
      <c r="G32" s="57">
        <f>G25*Assumptions!$C$38</f>
        <v>31018.601386817299</v>
      </c>
      <c r="H32" s="57">
        <f>H25*Assumptions!$C$38</f>
        <v>40693.422241666303</v>
      </c>
      <c r="I32" s="57">
        <f>I25*Assumptions!$C$38</f>
        <v>52638.240973088912</v>
      </c>
      <c r="J32" s="57">
        <f>J25*Assumptions!$C$38</f>
        <v>66771.096516003541</v>
      </c>
      <c r="K32" s="57">
        <f>K25*Assumptions!$C$38</f>
        <v>83013.880773180761</v>
      </c>
      <c r="L32" s="57">
        <f>L25*Assumptions!$C$38</f>
        <v>101292.22184067016</v>
      </c>
      <c r="M32" s="57">
        <f>M25*Assumptions!$C$38</f>
        <v>121535.37433157976</v>
      </c>
      <c r="N32" s="57">
        <f>N25*Assumptions!$C$38</f>
        <v>143676.11667205207</v>
      </c>
      <c r="O32" s="57">
        <f>O25*Assumptions!$C$38</f>
        <v>167251.44971329422</v>
      </c>
      <c r="P32" s="57">
        <f>P25*Assumptions!$C$38</f>
        <v>192159.00216306924</v>
      </c>
      <c r="Q32" s="57">
        <f>Q25*Assumptions!$C$38</f>
        <v>218695.5014702006</v>
      </c>
      <c r="R32" s="57">
        <f>R25*Assumptions!$C$38</f>
        <v>246799.95938247358</v>
      </c>
      <c r="S32" s="57">
        <f>S25*Assumptions!$C$38</f>
        <v>276413.99396264501</v>
      </c>
      <c r="T32" s="57">
        <f>T25*Assumptions!$C$38</f>
        <v>307481.73200724018</v>
      </c>
      <c r="U32" s="57">
        <f>U25*Assumptions!$C$38</f>
        <v>339949.71563545289</v>
      </c>
      <c r="V32" s="57">
        <f>V25*Assumptions!$C$38</f>
        <v>373766.8128920201</v>
      </c>
      <c r="W32" s="57">
        <f>W25*Assumptions!$C$38</f>
        <v>408884.13221461244</v>
      </c>
      <c r="X32" s="57">
        <f>X25*Assumptions!$C$38</f>
        <v>445254.94062270591</v>
      </c>
      <c r="Y32" s="57">
        <f>Y25*Assumptions!$C$38</f>
        <v>482834.58549108217</v>
      </c>
      <c r="Z32" s="57">
        <f>Z25*Assumptions!$C$38</f>
        <v>521580.41977705999</v>
      </c>
      <c r="AA32" s="57">
        <f>AA25*Assumptions!$C$38</f>
        <v>561196.07420035813</v>
      </c>
      <c r="AB32" s="57">
        <f>AB25*Assumptions!$C$38</f>
        <v>601624.80581338436</v>
      </c>
      <c r="AC32" s="57">
        <f>AC25*Assumptions!$C$38</f>
        <v>643066.38287831214</v>
      </c>
      <c r="AD32" s="57">
        <f>AD25*Assumptions!$C$38</f>
        <v>685483.56116645772</v>
      </c>
      <c r="AE32" s="57">
        <f>AE25*Assumptions!$C$38</f>
        <v>728840.68430596567</v>
      </c>
      <c r="AF32" s="57">
        <f>AF25*Assumptions!$C$38</f>
        <v>773103.62321016728</v>
      </c>
      <c r="AG32" s="57">
        <f>AG25*Assumptions!$C$38</f>
        <v>818239.71801708231</v>
      </c>
      <c r="AH32" s="57">
        <f>AH25*Assumptions!$C$38</f>
        <v>864217.72244226793</v>
      </c>
      <c r="AI32" s="57">
        <f>AI25*Assumptions!$C$38</f>
        <v>911007.75045120844</v>
      </c>
      <c r="AJ32" s="57">
        <f>AJ25*Assumptions!$C$38</f>
        <v>958581.22516127629</v>
      </c>
      <c r="AK32" s="57">
        <f>AK25*Assumptions!$C$38</f>
        <v>1006910.8298869696</v>
      </c>
      <c r="AL32" s="57">
        <f>AL25*Assumptions!$C$38</f>
        <v>1055970.4612456833</v>
      </c>
      <c r="AM32" s="57"/>
      <c r="AN32" s="57">
        <f>SUMIF($C$6:$AL$6,AN$6,$C32:$AL32)</f>
        <v>715147.17258008244</v>
      </c>
      <c r="AO32" s="57">
        <f t="shared" si="9"/>
        <v>3981072.2453318564</v>
      </c>
      <c r="AP32" s="57">
        <f t="shared" si="9"/>
        <v>9608242.8387791328</v>
      </c>
    </row>
    <row r="33" spans="2:42" x14ac:dyDescent="0.2">
      <c r="B33" t="s">
        <v>70</v>
      </c>
      <c r="C33" s="57">
        <f>C26*Assumptions!$C$39</f>
        <v>10325</v>
      </c>
      <c r="D33" s="57">
        <f>D26*Assumptions!$C$39</f>
        <v>10996.125000000002</v>
      </c>
      <c r="E33" s="57">
        <f>E26*Assumptions!$C$39</f>
        <v>12551.209259453783</v>
      </c>
      <c r="F33" s="57">
        <f>F26*Assumptions!$C$39</f>
        <v>15799.810970561975</v>
      </c>
      <c r="G33" s="57">
        <f>G26*Assumptions!$C$39</f>
        <v>20679.067591211533</v>
      </c>
      <c r="H33" s="57">
        <f>H26*Assumptions!$C$39</f>
        <v>27128.948161110871</v>
      </c>
      <c r="I33" s="57">
        <f>I26*Assumptions!$C$39</f>
        <v>35092.160648725941</v>
      </c>
      <c r="J33" s="57">
        <f>J26*Assumptions!$C$39</f>
        <v>44514.064344002363</v>
      </c>
      <c r="K33" s="57">
        <f>K26*Assumptions!$C$39</f>
        <v>55342.587182120507</v>
      </c>
      <c r="L33" s="57">
        <f>L26*Assumptions!$C$39</f>
        <v>67528.147893780115</v>
      </c>
      <c r="M33" s="57">
        <f>M26*Assumptions!$C$39</f>
        <v>81023.582887719851</v>
      </c>
      <c r="N33" s="57">
        <f>N26*Assumptions!$C$39</f>
        <v>95784.077781368062</v>
      </c>
      <c r="O33" s="57">
        <f>O26*Assumptions!$C$39</f>
        <v>111500.96647552951</v>
      </c>
      <c r="P33" s="57">
        <f>P26*Assumptions!$C$39</f>
        <v>128106.00144204618</v>
      </c>
      <c r="Q33" s="57">
        <f>Q26*Assumptions!$C$39</f>
        <v>145797.00098013371</v>
      </c>
      <c r="R33" s="57">
        <f>R26*Assumptions!$C$39</f>
        <v>164533.30625498237</v>
      </c>
      <c r="S33" s="57">
        <f>S26*Assumptions!$C$39</f>
        <v>184275.99597509668</v>
      </c>
      <c r="T33" s="57">
        <f>T26*Assumptions!$C$39</f>
        <v>204987.82133816017</v>
      </c>
      <c r="U33" s="57">
        <f>U26*Assumptions!$C$39</f>
        <v>226633.14375696858</v>
      </c>
      <c r="V33" s="57">
        <f>V26*Assumptions!$C$39</f>
        <v>249177.87526134675</v>
      </c>
      <c r="W33" s="57">
        <f>W26*Assumptions!$C$39</f>
        <v>272589.42147640826</v>
      </c>
      <c r="X33" s="57">
        <f>X26*Assumptions!$C$39</f>
        <v>296836.62708180398</v>
      </c>
      <c r="Y33" s="57">
        <f>Y26*Assumptions!$C$39</f>
        <v>321889.7236607215</v>
      </c>
      <c r="Z33" s="57">
        <f>Z26*Assumptions!$C$39</f>
        <v>347720.2798513734</v>
      </c>
      <c r="AA33" s="57">
        <f>AA26*Assumptions!$C$39</f>
        <v>374130.71613357216</v>
      </c>
      <c r="AB33" s="57">
        <f>AB26*Assumptions!$C$39</f>
        <v>401083.20387558953</v>
      </c>
      <c r="AC33" s="57">
        <f>AC26*Assumptions!$C$39</f>
        <v>428710.92191887484</v>
      </c>
      <c r="AD33" s="57">
        <f>AD26*Assumptions!$C$39</f>
        <v>456989.04077763855</v>
      </c>
      <c r="AE33" s="57">
        <f>AE26*Assumptions!$C$39</f>
        <v>485893.78953731048</v>
      </c>
      <c r="AF33" s="57">
        <f>AF26*Assumptions!$C$39</f>
        <v>515402.41547344485</v>
      </c>
      <c r="AG33" s="57">
        <f>AG26*Assumptions!$C$39</f>
        <v>545493.14534472162</v>
      </c>
      <c r="AH33" s="57">
        <f>AH26*Assumptions!$C$39</f>
        <v>576145.14829484536</v>
      </c>
      <c r="AI33" s="57">
        <f>AI26*Assumptions!$C$39</f>
        <v>607338.50030080578</v>
      </c>
      <c r="AJ33" s="57">
        <f>AJ26*Assumptions!$C$39</f>
        <v>639054.15010751749</v>
      </c>
      <c r="AK33" s="57">
        <f>AK26*Assumptions!$C$39</f>
        <v>671273.88659131306</v>
      </c>
      <c r="AL33" s="57">
        <f>AL26*Assumptions!$C$39</f>
        <v>703980.30749712233</v>
      </c>
      <c r="AM33" s="57"/>
      <c r="AN33" s="57">
        <f>SUMIF($C$6:$AL$6,AN$6,$C33:$AL33)</f>
        <v>476764.78172005503</v>
      </c>
      <c r="AO33" s="57">
        <f t="shared" si="9"/>
        <v>2654048.1635545711</v>
      </c>
      <c r="AP33" s="57">
        <f t="shared" si="9"/>
        <v>6405495.2258527568</v>
      </c>
    </row>
    <row r="34" spans="2:42" x14ac:dyDescent="0.2">
      <c r="B34" s="4" t="s">
        <v>71</v>
      </c>
      <c r="C34" s="58">
        <f>SUM(C29:C33)</f>
        <v>35105</v>
      </c>
      <c r="D34" s="58">
        <f>SUM(D29:D33)</f>
        <v>37386.825000000004</v>
      </c>
      <c r="E34" s="58">
        <f t="shared" ref="E34:AL34" si="10">SUM(E29:E33)</f>
        <v>42674.111482142864</v>
      </c>
      <c r="F34" s="58">
        <f t="shared" si="10"/>
        <v>53719.357299910713</v>
      </c>
      <c r="G34" s="58">
        <f t="shared" si="10"/>
        <v>70308.829810119205</v>
      </c>
      <c r="H34" s="58">
        <f t="shared" si="10"/>
        <v>92238.423747776949</v>
      </c>
      <c r="I34" s="58">
        <f t="shared" si="10"/>
        <v>119313.34620566819</v>
      </c>
      <c r="J34" s="58">
        <f t="shared" si="10"/>
        <v>151347.81876960804</v>
      </c>
      <c r="K34" s="58">
        <f t="shared" si="10"/>
        <v>188164.79641920971</v>
      </c>
      <c r="L34" s="58">
        <f t="shared" si="10"/>
        <v>229595.70283885236</v>
      </c>
      <c r="M34" s="58">
        <f t="shared" si="10"/>
        <v>275480.18181824748</v>
      </c>
      <c r="N34" s="58">
        <f t="shared" si="10"/>
        <v>325665.86445665138</v>
      </c>
      <c r="O34" s="58">
        <f t="shared" si="10"/>
        <v>379103.28601680021</v>
      </c>
      <c r="P34" s="58">
        <f t="shared" si="10"/>
        <v>435560.40490295697</v>
      </c>
      <c r="Q34" s="58">
        <f t="shared" si="10"/>
        <v>495709.8033324547</v>
      </c>
      <c r="R34" s="58">
        <f t="shared" si="10"/>
        <v>559413.24126694002</v>
      </c>
      <c r="S34" s="58">
        <f t="shared" si="10"/>
        <v>626538.38631532865</v>
      </c>
      <c r="T34" s="58">
        <f t="shared" si="10"/>
        <v>696958.59254974441</v>
      </c>
      <c r="U34" s="58">
        <f t="shared" si="10"/>
        <v>770552.68877369317</v>
      </c>
      <c r="V34" s="58">
        <f t="shared" si="10"/>
        <v>847204.77588857897</v>
      </c>
      <c r="W34" s="58">
        <f t="shared" si="10"/>
        <v>926804.03301978821</v>
      </c>
      <c r="X34" s="58">
        <f t="shared" si="10"/>
        <v>1009244.5320781334</v>
      </c>
      <c r="Y34" s="58">
        <f t="shared" si="10"/>
        <v>1094425.060446453</v>
      </c>
      <c r="Z34" s="58">
        <f t="shared" si="10"/>
        <v>1182248.9514946695</v>
      </c>
      <c r="AA34" s="58">
        <f t="shared" si="10"/>
        <v>1272044.4348541452</v>
      </c>
      <c r="AB34" s="58">
        <f t="shared" si="10"/>
        <v>1363682.8931770045</v>
      </c>
      <c r="AC34" s="58">
        <f t="shared" si="10"/>
        <v>1457617.1345241743</v>
      </c>
      <c r="AD34" s="58">
        <f t="shared" si="10"/>
        <v>1553762.7386439708</v>
      </c>
      <c r="AE34" s="58">
        <f t="shared" si="10"/>
        <v>1652038.8844268555</v>
      </c>
      <c r="AF34" s="58">
        <f t="shared" si="10"/>
        <v>1752368.2126097125</v>
      </c>
      <c r="AG34" s="58">
        <f t="shared" si="10"/>
        <v>1854676.6941720534</v>
      </c>
      <c r="AH34" s="58">
        <f t="shared" si="10"/>
        <v>1958893.5042024741</v>
      </c>
      <c r="AI34" s="58">
        <f t="shared" si="10"/>
        <v>2064950.9010227395</v>
      </c>
      <c r="AJ34" s="58">
        <f t="shared" si="10"/>
        <v>2172784.1103655593</v>
      </c>
      <c r="AK34" s="58">
        <f t="shared" si="10"/>
        <v>2282331.2144104643</v>
      </c>
      <c r="AL34" s="58">
        <f t="shared" si="10"/>
        <v>2393533.0454902155</v>
      </c>
      <c r="AM34" s="57"/>
      <c r="AN34" s="58">
        <f>SUMIF($C$6:$AL$6,AN$6,$C34:$AL34)</f>
        <v>1621000.2578481869</v>
      </c>
      <c r="AO34" s="58">
        <f t="shared" si="9"/>
        <v>9023763.7560855411</v>
      </c>
      <c r="AP34" s="58">
        <f t="shared" si="9"/>
        <v>21778683.767899372</v>
      </c>
    </row>
    <row r="36" spans="2:42" x14ac:dyDescent="0.2">
      <c r="B36" s="107" t="s">
        <v>134</v>
      </c>
    </row>
    <row r="37" spans="2:42" x14ac:dyDescent="0.2">
      <c r="B37" s="4" t="s">
        <v>135</v>
      </c>
      <c r="C37" s="58">
        <f>C34*Assumptions!$C$7</f>
        <v>8425.1999999999989</v>
      </c>
      <c r="D37" s="58">
        <f>D34*Assumptions!$C$7</f>
        <v>8972.8380000000016</v>
      </c>
      <c r="E37" s="58">
        <f>E34*Assumptions!$C$7</f>
        <v>10241.786755714287</v>
      </c>
      <c r="F37" s="58">
        <f>F34*Assumptions!$C$7</f>
        <v>12892.645751978571</v>
      </c>
      <c r="G37" s="58">
        <f>G34*Assumptions!$C$7</f>
        <v>16874.119154428608</v>
      </c>
      <c r="H37" s="58">
        <f>H34*Assumptions!$C$7</f>
        <v>22137.221699466467</v>
      </c>
      <c r="I37" s="58">
        <f>I34*Assumptions!$C$7</f>
        <v>28635.203089360366</v>
      </c>
      <c r="J37" s="58">
        <f>J34*Assumptions!$C$7</f>
        <v>36323.476504705926</v>
      </c>
      <c r="K37" s="58">
        <f>K34*Assumptions!$C$7</f>
        <v>45159.551140610332</v>
      </c>
      <c r="L37" s="58">
        <f>L34*Assumptions!$C$7</f>
        <v>55102.968681324564</v>
      </c>
      <c r="M37" s="58">
        <f>M34*Assumptions!$C$7</f>
        <v>66115.243636379397</v>
      </c>
      <c r="N37" s="58">
        <f>N34*Assumptions!$C$7</f>
        <v>78159.80746959633</v>
      </c>
      <c r="O37" s="58">
        <f>O34*Assumptions!$C$7</f>
        <v>90984.788644032044</v>
      </c>
      <c r="P37" s="58">
        <f>P34*Assumptions!$C$7</f>
        <v>104534.49717670967</v>
      </c>
      <c r="Q37" s="58">
        <f>Q34*Assumptions!$C$7</f>
        <v>118970.35279978912</v>
      </c>
      <c r="R37" s="58">
        <f>R34*Assumptions!$C$7</f>
        <v>134259.17790406561</v>
      </c>
      <c r="S37" s="58">
        <f>S34*Assumptions!$C$7</f>
        <v>150369.21271567888</v>
      </c>
      <c r="T37" s="58">
        <f>T34*Assumptions!$C$7</f>
        <v>167270.06221193864</v>
      </c>
      <c r="U37" s="58">
        <f>U34*Assumptions!$C$7</f>
        <v>184932.64530568634</v>
      </c>
      <c r="V37" s="58">
        <f>V34*Assumptions!$C$7</f>
        <v>203329.14621325894</v>
      </c>
      <c r="W37" s="58">
        <f>W34*Assumptions!$C$7</f>
        <v>222432.96792474916</v>
      </c>
      <c r="X37" s="58">
        <f>X34*Assumptions!$C$7</f>
        <v>242218.68769875201</v>
      </c>
      <c r="Y37" s="58">
        <f>Y34*Assumptions!$C$7</f>
        <v>262662.01450714871</v>
      </c>
      <c r="Z37" s="58">
        <f>Z34*Assumptions!$C$7</f>
        <v>283739.74835872068</v>
      </c>
      <c r="AA37" s="58">
        <f>AA34*Assumptions!$C$7</f>
        <v>305290.66436499485</v>
      </c>
      <c r="AB37" s="58">
        <f>AB34*Assumptions!$C$7</f>
        <v>327283.89436248108</v>
      </c>
      <c r="AC37" s="58">
        <f>AC34*Assumptions!$C$7</f>
        <v>349828.11228580179</v>
      </c>
      <c r="AD37" s="58">
        <f>AD34*Assumptions!$C$7</f>
        <v>372903.05727455299</v>
      </c>
      <c r="AE37" s="58">
        <f>AE34*Assumptions!$C$7</f>
        <v>396489.3322624453</v>
      </c>
      <c r="AF37" s="58">
        <f>AF34*Assumptions!$C$7</f>
        <v>420568.37102633098</v>
      </c>
      <c r="AG37" s="58">
        <f>AG34*Assumptions!$C$7</f>
        <v>445122.40660129278</v>
      </c>
      <c r="AH37" s="58">
        <f>AH34*Assumptions!$C$7</f>
        <v>470134.44100859377</v>
      </c>
      <c r="AI37" s="58">
        <f>AI34*Assumptions!$C$7</f>
        <v>495588.21624545747</v>
      </c>
      <c r="AJ37" s="58">
        <f>AJ34*Assumptions!$C$7</f>
        <v>521468.1864877342</v>
      </c>
      <c r="AK37" s="58">
        <f>AK34*Assumptions!$C$7</f>
        <v>547759.49145851145</v>
      </c>
      <c r="AL37" s="58">
        <f>AL34*Assumptions!$C$7</f>
        <v>574447.93091765174</v>
      </c>
      <c r="AM37" s="57"/>
      <c r="AN37" s="58">
        <f>SUMIF($C$6:$AL$6,AN$6,$C37:$AL37)</f>
        <v>389040.06188356486</v>
      </c>
      <c r="AO37" s="58">
        <f t="shared" ref="AO37:AP40" si="11">SUMIF($C$6:$AL$6,AO$6,$C37:$AL37)</f>
        <v>2165703.3014605297</v>
      </c>
      <c r="AP37" s="58">
        <f t="shared" si="11"/>
        <v>5226884.1042958489</v>
      </c>
    </row>
    <row r="38" spans="2:42" x14ac:dyDescent="0.2">
      <c r="B38" s="29" t="s">
        <v>143</v>
      </c>
      <c r="C38" s="75">
        <f>C37*Assumptions!$C$9</f>
        <v>1685.04</v>
      </c>
      <c r="D38" s="75">
        <f>D37*Assumptions!$C$9</f>
        <v>1794.5676000000003</v>
      </c>
      <c r="E38" s="75">
        <f>E37*Assumptions!$C$9</f>
        <v>2048.3573511428576</v>
      </c>
      <c r="F38" s="75">
        <f>F37*Assumptions!$C$9</f>
        <v>2578.5291503957142</v>
      </c>
      <c r="G38" s="75">
        <f>G37*Assumptions!$C$9</f>
        <v>3374.8238308857217</v>
      </c>
      <c r="H38" s="75">
        <f>H37*Assumptions!$C$9</f>
        <v>4427.4443398932935</v>
      </c>
      <c r="I38" s="75">
        <f>I37*Assumptions!$C$9</f>
        <v>5727.0406178720732</v>
      </c>
      <c r="J38" s="75">
        <f>J37*Assumptions!$C$9</f>
        <v>7264.6953009411855</v>
      </c>
      <c r="K38" s="75">
        <f>K37*Assumptions!$C$9</f>
        <v>9031.9102281220676</v>
      </c>
      <c r="L38" s="75">
        <f>L37*Assumptions!$C$9</f>
        <v>11020.593736264913</v>
      </c>
      <c r="M38" s="75">
        <f>M37*Assumptions!$C$9</f>
        <v>13223.04872727588</v>
      </c>
      <c r="N38" s="75">
        <f>N37*Assumptions!$C$9</f>
        <v>15631.961493919267</v>
      </c>
      <c r="O38" s="75">
        <f>O37*Assumptions!$C$9</f>
        <v>18196.95772880641</v>
      </c>
      <c r="P38" s="75">
        <f>P37*Assumptions!$C$9</f>
        <v>20906.899435341937</v>
      </c>
      <c r="Q38" s="75">
        <f>Q37*Assumptions!$C$9</f>
        <v>23794.070559957825</v>
      </c>
      <c r="R38" s="75">
        <f>R37*Assumptions!$C$9</f>
        <v>26851.835580813124</v>
      </c>
      <c r="S38" s="75">
        <f>S37*Assumptions!$C$9</f>
        <v>30073.842543135775</v>
      </c>
      <c r="T38" s="75">
        <f>T37*Assumptions!$C$9</f>
        <v>33454.012442387728</v>
      </c>
      <c r="U38" s="75">
        <f>U37*Assumptions!$C$9</f>
        <v>36986.529061137269</v>
      </c>
      <c r="V38" s="75">
        <f>V37*Assumptions!$C$9</f>
        <v>40665.829242651787</v>
      </c>
      <c r="W38" s="75">
        <f>W37*Assumptions!$C$9</f>
        <v>44486.593584949835</v>
      </c>
      <c r="X38" s="75">
        <f>X37*Assumptions!$C$9</f>
        <v>48443.737539750407</v>
      </c>
      <c r="Y38" s="75">
        <f>Y37*Assumptions!$C$9</f>
        <v>52532.402901429741</v>
      </c>
      <c r="Z38" s="75">
        <f>Z37*Assumptions!$C$9</f>
        <v>56747.949671744136</v>
      </c>
      <c r="AA38" s="75">
        <f>AA37*Assumptions!$C$9</f>
        <v>61058.132872998976</v>
      </c>
      <c r="AB38" s="75">
        <f>AB37*Assumptions!$C$9</f>
        <v>65456.778872496216</v>
      </c>
      <c r="AC38" s="75">
        <f>AC37*Assumptions!$C$9</f>
        <v>69965.622457160367</v>
      </c>
      <c r="AD38" s="75">
        <f>AD37*Assumptions!$C$9</f>
        <v>74580.611454910599</v>
      </c>
      <c r="AE38" s="75">
        <f>AE37*Assumptions!$C$9</f>
        <v>79297.866452489063</v>
      </c>
      <c r="AF38" s="75">
        <f>AF37*Assumptions!$C$9</f>
        <v>84113.674205266201</v>
      </c>
      <c r="AG38" s="75">
        <f>AG37*Assumptions!$C$9</f>
        <v>89024.481320258565</v>
      </c>
      <c r="AH38" s="75">
        <f>AH37*Assumptions!$C$9</f>
        <v>94026.888201718757</v>
      </c>
      <c r="AI38" s="75">
        <f>AI37*Assumptions!$C$9</f>
        <v>99117.643249091503</v>
      </c>
      <c r="AJ38" s="75">
        <f>AJ37*Assumptions!$C$9</f>
        <v>104293.63729754684</v>
      </c>
      <c r="AK38" s="75">
        <f>AK37*Assumptions!$C$9</f>
        <v>109551.89829170229</v>
      </c>
      <c r="AL38" s="75">
        <f>AL37*Assumptions!$C$9</f>
        <v>114889.58618353035</v>
      </c>
      <c r="AM38" s="75"/>
      <c r="AN38" s="75">
        <f>SUMIF($C$6:$AL$6,AN$6,$C38:$AL38)</f>
        <v>77808.01237671297</v>
      </c>
      <c r="AO38" s="75">
        <f t="shared" si="11"/>
        <v>433140.66029210598</v>
      </c>
      <c r="AP38" s="75">
        <f t="shared" si="11"/>
        <v>1045376.8208591697</v>
      </c>
    </row>
    <row r="39" spans="2:42" x14ac:dyDescent="0.2">
      <c r="B39" t="s">
        <v>72</v>
      </c>
      <c r="C39" s="28">
        <f>C21*Assumptions!$C$30</f>
        <v>0.16520000000000001</v>
      </c>
      <c r="D39" s="28">
        <f>D21*Assumptions!$C$30</f>
        <v>0.17593800000000004</v>
      </c>
      <c r="E39" s="28">
        <f>E21*Assumptions!$C$30</f>
        <v>0.20081934815126054</v>
      </c>
      <c r="F39" s="28">
        <f>F21*Assumptions!$C$30</f>
        <v>0.25279697552899161</v>
      </c>
      <c r="G39" s="28">
        <f>G21*Assumptions!$C$30</f>
        <v>0.33086508145938454</v>
      </c>
      <c r="H39" s="28">
        <f>H21*Assumptions!$C$30</f>
        <v>0.43406317057777394</v>
      </c>
      <c r="I39" s="28">
        <f>I21*Assumptions!$C$30</f>
        <v>0.56147457037961512</v>
      </c>
      <c r="J39" s="28">
        <f>J21*Assumptions!$C$30</f>
        <v>0.71222502950403788</v>
      </c>
      <c r="K39" s="28">
        <f>K21*Assumptions!$C$30</f>
        <v>0.88548139491392819</v>
      </c>
      <c r="L39" s="28">
        <f>L21*Assumptions!$C$30</f>
        <v>1.0804503663004819</v>
      </c>
      <c r="M39" s="28">
        <f>M21*Assumptions!$C$30</f>
        <v>1.2963773262035176</v>
      </c>
      <c r="N39" s="28">
        <f>N21*Assumptions!$C$30</f>
        <v>1.532545244501889</v>
      </c>
      <c r="O39" s="28">
        <f>O21*Assumptions!$C$30</f>
        <v>1.784015463608472</v>
      </c>
      <c r="P39" s="28">
        <f>P21*Assumptions!$C$30</f>
        <v>2.0496960230727388</v>
      </c>
      <c r="Q39" s="28">
        <f>Q21*Assumptions!$C$30</f>
        <v>2.3327520156821397</v>
      </c>
      <c r="R39" s="28">
        <f>R21*Assumptions!$C$30</f>
        <v>2.6325329000797182</v>
      </c>
      <c r="S39" s="28">
        <f>S21*Assumptions!$C$30</f>
        <v>2.9484159356015467</v>
      </c>
      <c r="T39" s="28">
        <f>T21*Assumptions!$C$30</f>
        <v>3.2798051414105625</v>
      </c>
      <c r="U39" s="28">
        <f>U21*Assumptions!$C$30</f>
        <v>3.6261303001114977</v>
      </c>
      <c r="V39" s="28">
        <f>V21*Assumptions!$C$30</f>
        <v>3.9868460041815483</v>
      </c>
      <c r="W39" s="28">
        <f>W21*Assumptions!$C$30</f>
        <v>4.3614307436225328</v>
      </c>
      <c r="X39" s="28">
        <f>X21*Assumptions!$C$30</f>
        <v>4.7493860333088636</v>
      </c>
      <c r="Y39" s="28">
        <f>Y21*Assumptions!$C$30</f>
        <v>5.1502355785715439</v>
      </c>
      <c r="Z39" s="28">
        <f>Z21*Assumptions!$C$30</f>
        <v>5.5635244776219741</v>
      </c>
      <c r="AA39" s="28">
        <f>AA21*Assumptions!$C$30</f>
        <v>5.9860914581371549</v>
      </c>
      <c r="AB39" s="28">
        <f>AB21*Assumptions!$C$30</f>
        <v>6.4173312620094327</v>
      </c>
      <c r="AC39" s="28">
        <f>AC21*Assumptions!$C$30</f>
        <v>6.8593747507019973</v>
      </c>
      <c r="AD39" s="28">
        <f>AD21*Assumptions!$C$30</f>
        <v>7.3118246524422164</v>
      </c>
      <c r="AE39" s="28">
        <f>AE21*Assumptions!$C$30</f>
        <v>7.7743006325969679</v>
      </c>
      <c r="AF39" s="28">
        <f>AF21*Assumptions!$C$30</f>
        <v>8.2464386475751184</v>
      </c>
      <c r="AG39" s="28">
        <f>AG21*Assumptions!$C$30</f>
        <v>8.7278903255155456</v>
      </c>
      <c r="AH39" s="28">
        <f>AH21*Assumptions!$C$30</f>
        <v>9.218322372717525</v>
      </c>
      <c r="AI39" s="28">
        <f>AI21*Assumptions!$C$30</f>
        <v>9.7174160048128915</v>
      </c>
      <c r="AJ39" s="28">
        <f>AJ21*Assumptions!$C$30</f>
        <v>10.224866401720281</v>
      </c>
      <c r="AK39" s="28">
        <f>AK21*Assumptions!$C$30</f>
        <v>10.74038218546101</v>
      </c>
      <c r="AL39" s="28">
        <f>AL21*Assumptions!$C$30</f>
        <v>11.263684919953958</v>
      </c>
      <c r="AM39" s="28"/>
      <c r="AN39" s="30">
        <f>SUMIF($C$6:$AL$6,AN$6,$C39:$AL39)</f>
        <v>7.6282365075208807</v>
      </c>
      <c r="AO39" s="30">
        <f t="shared" si="11"/>
        <v>42.464770616873139</v>
      </c>
      <c r="AP39" s="30">
        <f t="shared" si="11"/>
        <v>102.4879236136441</v>
      </c>
    </row>
    <row r="40" spans="2:42" x14ac:dyDescent="0.2">
      <c r="B40" t="s">
        <v>136</v>
      </c>
      <c r="C40" s="57">
        <f>SUMPRODUCT(C22:C26,Assumptions!$D$35:$D$39)*Assumptions!$C$30*Assumptions!$C$8</f>
        <v>2684.5</v>
      </c>
      <c r="D40" s="57">
        <f>SUMPRODUCT(D22:D26,Assumptions!$D$35:$D$39)*Assumptions!$C$30*Assumptions!$C$8</f>
        <v>2858.9925000000003</v>
      </c>
      <c r="E40" s="57">
        <f>SUMPRODUCT(E22:E26,Assumptions!$D$35:$D$39)*Assumptions!$C$30*Assumptions!$C$8</f>
        <v>3263.3144074579836</v>
      </c>
      <c r="F40" s="57">
        <f>SUMPRODUCT(F22:F26,Assumptions!$D$35:$D$39)*Assumptions!$C$30*Assumptions!$C$8</f>
        <v>4107.9508523461136</v>
      </c>
      <c r="G40" s="57">
        <f>SUMPRODUCT(G22:G26,Assumptions!$D$35:$D$39)*Assumptions!$C$30*Assumptions!$C$8</f>
        <v>5376.5575737149993</v>
      </c>
      <c r="H40" s="57">
        <f>SUMPRODUCT(H22:H26,Assumptions!$D$35:$D$39)*Assumptions!$C$30*Assumptions!$C$8</f>
        <v>7053.5265218888262</v>
      </c>
      <c r="I40" s="57">
        <f>SUMPRODUCT(I22:I26,Assumptions!$D$35:$D$39)*Assumptions!$C$30*Assumptions!$C$8</f>
        <v>9123.9617686687452</v>
      </c>
      <c r="J40" s="57">
        <f>SUMPRODUCT(J22:J26,Assumptions!$D$35:$D$39)*Assumptions!$C$30*Assumptions!$C$8</f>
        <v>11573.656729440616</v>
      </c>
      <c r="K40" s="57">
        <f>SUMPRODUCT(K22:K26,Assumptions!$D$35:$D$39)*Assumptions!$C$30*Assumptions!$C$8</f>
        <v>14389.072667351333</v>
      </c>
      <c r="L40" s="57">
        <f>SUMPRODUCT(L22:L26,Assumptions!$D$35:$D$39)*Assumptions!$C$30*Assumptions!$C$8</f>
        <v>17557.318452382828</v>
      </c>
      <c r="M40" s="57">
        <f>SUMPRODUCT(M22:M26,Assumptions!$D$35:$D$39)*Assumptions!$C$30*Assumptions!$C$8</f>
        <v>21066.131550807164</v>
      </c>
      <c r="N40" s="57">
        <f>SUMPRODUCT(N22:N26,Assumptions!$D$35:$D$39)*Assumptions!$C$30*Assumptions!$C$8</f>
        <v>24903.860223155694</v>
      </c>
      <c r="O40" s="57">
        <f>SUMPRODUCT(O22:O26,Assumptions!$D$35:$D$39)*Assumptions!$C$30*Assumptions!$C$8</f>
        <v>28990.25128363767</v>
      </c>
      <c r="P40" s="57">
        <f>SUMPRODUCT(P22:P26,Assumptions!$D$35:$D$39)*Assumptions!$C$30*Assumptions!$C$8</f>
        <v>33307.560374932</v>
      </c>
      <c r="Q40" s="57">
        <f>SUMPRODUCT(Q22:Q26,Assumptions!$D$35:$D$39)*Assumptions!$C$30*Assumptions!$C$8</f>
        <v>37907.220254834778</v>
      </c>
      <c r="R40" s="57">
        <f>SUMPRODUCT(R22:R26,Assumptions!$D$35:$D$39)*Assumptions!$C$30*Assumptions!$C$8</f>
        <v>42778.659626295419</v>
      </c>
      <c r="S40" s="57">
        <f>SUMPRODUCT(S22:S26,Assumptions!$D$35:$D$39)*Assumptions!$C$30*Assumptions!$C$8</f>
        <v>47911.758953525139</v>
      </c>
      <c r="T40" s="57">
        <f>SUMPRODUCT(T22:T26,Assumptions!$D$35:$D$39)*Assumptions!$C$30*Assumptions!$C$8</f>
        <v>53296.83354792164</v>
      </c>
      <c r="U40" s="57">
        <f>SUMPRODUCT(U22:U26,Assumptions!$D$35:$D$39)*Assumptions!$C$30*Assumptions!$C$8</f>
        <v>58924.617376811846</v>
      </c>
      <c r="V40" s="57">
        <f>SUMPRODUCT(V22:V26,Assumptions!$D$35:$D$39)*Assumptions!$C$30*Assumptions!$C$8</f>
        <v>64786.247567950159</v>
      </c>
      <c r="W40" s="57">
        <f>SUMPRODUCT(W22:W26,Assumptions!$D$35:$D$39)*Assumptions!$C$30*Assumptions!$C$8</f>
        <v>70873.249583866156</v>
      </c>
      <c r="X40" s="57">
        <f>SUMPRODUCT(X22:X26,Assumptions!$D$35:$D$39)*Assumptions!$C$30*Assumptions!$C$8</f>
        <v>77177.523041269043</v>
      </c>
      <c r="Y40" s="57">
        <f>SUMPRODUCT(Y22:Y26,Assumptions!$D$35:$D$39)*Assumptions!$C$30*Assumptions!$C$8</f>
        <v>83691.328151787588</v>
      </c>
      <c r="Z40" s="57">
        <f>SUMPRODUCT(Z22:Z26,Assumptions!$D$35:$D$39)*Assumptions!$C$30*Assumptions!$C$8</f>
        <v>90407.27276135709</v>
      </c>
      <c r="AA40" s="57">
        <f>SUMPRODUCT(AA22:AA26,Assumptions!$D$35:$D$39)*Assumptions!$C$30*Assumptions!$C$8</f>
        <v>97273.986194728757</v>
      </c>
      <c r="AB40" s="57">
        <f>SUMPRODUCT(AB22:AB26,Assumptions!$D$35:$D$39)*Assumptions!$C$30*Assumptions!$C$8</f>
        <v>104281.63300765328</v>
      </c>
      <c r="AC40" s="57">
        <f>SUMPRODUCT(AC22:AC26,Assumptions!$D$35:$D$39)*Assumptions!$C$30*Assumptions!$C$8</f>
        <v>111464.83969890745</v>
      </c>
      <c r="AD40" s="57">
        <f>SUMPRODUCT(AD22:AD26,Assumptions!$D$35:$D$39)*Assumptions!$C$30*Assumptions!$C$8</f>
        <v>118817.15060218603</v>
      </c>
      <c r="AE40" s="57">
        <f>SUMPRODUCT(AE22:AE26,Assumptions!$D$35:$D$39)*Assumptions!$C$30*Assumptions!$C$8</f>
        <v>126332.38527970074</v>
      </c>
      <c r="AF40" s="57">
        <f>SUMPRODUCT(AF22:AF26,Assumptions!$D$35:$D$39)*Assumptions!$C$30*Assumptions!$C$8</f>
        <v>134004.62802309566</v>
      </c>
      <c r="AG40" s="57">
        <f>SUMPRODUCT(AG22:AG26,Assumptions!$D$35:$D$39)*Assumptions!$C$30*Assumptions!$C$8</f>
        <v>141828.21778962761</v>
      </c>
      <c r="AH40" s="57">
        <f>SUMPRODUCT(AH22:AH26,Assumptions!$D$35:$D$39)*Assumptions!$C$30*Assumptions!$C$8</f>
        <v>149797.73855665978</v>
      </c>
      <c r="AI40" s="57">
        <f>SUMPRODUCT(AI22:AI26,Assumptions!$D$35:$D$39)*Assumptions!$C$30*Assumptions!$C$8</f>
        <v>157908.01007820948</v>
      </c>
      <c r="AJ40" s="57">
        <f>SUMPRODUCT(AJ22:AJ26,Assumptions!$D$35:$D$39)*Assumptions!$C$30*Assumptions!$C$8</f>
        <v>166154.07902795455</v>
      </c>
      <c r="AK40" s="57">
        <f>SUMPRODUCT(AK22:AK26,Assumptions!$D$35:$D$39)*Assumptions!$C$30*Assumptions!$C$8</f>
        <v>174531.21051374139</v>
      </c>
      <c r="AL40" s="57">
        <f>SUMPRODUCT(AL22:AL26,Assumptions!$D$35:$D$39)*Assumptions!$C$30*Assumptions!$C$8</f>
        <v>183034.8799492518</v>
      </c>
      <c r="AM40" s="57"/>
      <c r="AN40" s="57">
        <f>SUMIF($C$6:$AL$6,AN$6,$C40:$AL40)</f>
        <v>123958.8432472143</v>
      </c>
      <c r="AO40" s="57">
        <f t="shared" si="11"/>
        <v>690052.52252418862</v>
      </c>
      <c r="AP40" s="57">
        <f t="shared" si="11"/>
        <v>1665428.7587217167</v>
      </c>
    </row>
    <row r="41" spans="2:42" x14ac:dyDescent="0.2">
      <c r="B41" s="4" t="s">
        <v>144</v>
      </c>
      <c r="C41" s="58">
        <f>C37-C38-C40</f>
        <v>4055.6599999999989</v>
      </c>
      <c r="D41" s="58">
        <f t="shared" ref="D41:AL41" si="12">D37-D38-D40</f>
        <v>4319.277900000001</v>
      </c>
      <c r="E41" s="58">
        <f t="shared" si="12"/>
        <v>4930.1149971134473</v>
      </c>
      <c r="F41" s="58">
        <f t="shared" si="12"/>
        <v>6206.1657492367431</v>
      </c>
      <c r="G41" s="58">
        <f t="shared" si="12"/>
        <v>8122.7377498278875</v>
      </c>
      <c r="H41" s="58">
        <f t="shared" si="12"/>
        <v>10656.250837684347</v>
      </c>
      <c r="I41" s="58">
        <f t="shared" si="12"/>
        <v>13784.200702819548</v>
      </c>
      <c r="J41" s="58">
        <f t="shared" si="12"/>
        <v>17485.124474324126</v>
      </c>
      <c r="K41" s="58">
        <f t="shared" si="12"/>
        <v>21738.568245136928</v>
      </c>
      <c r="L41" s="58">
        <f t="shared" si="12"/>
        <v>26525.056492676824</v>
      </c>
      <c r="M41" s="58">
        <f t="shared" si="12"/>
        <v>31826.063358296356</v>
      </c>
      <c r="N41" s="58">
        <f t="shared" si="12"/>
        <v>37623.985752521367</v>
      </c>
      <c r="O41" s="58">
        <f t="shared" si="12"/>
        <v>43797.579631587971</v>
      </c>
      <c r="P41" s="58">
        <f t="shared" si="12"/>
        <v>50320.037366435732</v>
      </c>
      <c r="Q41" s="58">
        <f t="shared" si="12"/>
        <v>57269.061984996522</v>
      </c>
      <c r="R41" s="58">
        <f t="shared" si="12"/>
        <v>64628.682696957076</v>
      </c>
      <c r="S41" s="58">
        <f t="shared" si="12"/>
        <v>72383.61121901797</v>
      </c>
      <c r="T41" s="58">
        <f t="shared" si="12"/>
        <v>80519.216221629264</v>
      </c>
      <c r="U41" s="58">
        <f t="shared" si="12"/>
        <v>89021.498867737231</v>
      </c>
      <c r="V41" s="58">
        <f t="shared" si="12"/>
        <v>97877.069402656984</v>
      </c>
      <c r="W41" s="58">
        <f t="shared" si="12"/>
        <v>107073.12475593318</v>
      </c>
      <c r="X41" s="58">
        <f t="shared" si="12"/>
        <v>116597.42711773256</v>
      </c>
      <c r="Y41" s="58">
        <f t="shared" si="12"/>
        <v>126438.28345393138</v>
      </c>
      <c r="Z41" s="58">
        <f t="shared" si="12"/>
        <v>136584.52592561947</v>
      </c>
      <c r="AA41" s="58">
        <f t="shared" si="12"/>
        <v>146958.54529726712</v>
      </c>
      <c r="AB41" s="58">
        <f t="shared" si="12"/>
        <v>157545.48248233157</v>
      </c>
      <c r="AC41" s="58">
        <f t="shared" si="12"/>
        <v>168397.65012973396</v>
      </c>
      <c r="AD41" s="58">
        <f t="shared" si="12"/>
        <v>179505.29521745635</v>
      </c>
      <c r="AE41" s="58">
        <f t="shared" si="12"/>
        <v>190859.08053025551</v>
      </c>
      <c r="AF41" s="58">
        <f t="shared" si="12"/>
        <v>202450.06879796914</v>
      </c>
      <c r="AG41" s="58">
        <f t="shared" si="12"/>
        <v>214269.70749140659</v>
      </c>
      <c r="AH41" s="58">
        <f t="shared" si="12"/>
        <v>226309.81425021525</v>
      </c>
      <c r="AI41" s="58">
        <f t="shared" si="12"/>
        <v>238562.56291815647</v>
      </c>
      <c r="AJ41" s="58">
        <f t="shared" si="12"/>
        <v>251020.47016223281</v>
      </c>
      <c r="AK41" s="58">
        <f t="shared" si="12"/>
        <v>263676.38265306782</v>
      </c>
      <c r="AL41" s="58">
        <f t="shared" si="12"/>
        <v>276523.46478486957</v>
      </c>
      <c r="AM41" s="57"/>
      <c r="AN41" s="58">
        <f>AN37-AN38-AN40</f>
        <v>187273.20625963758</v>
      </c>
      <c r="AO41" s="58">
        <f t="shared" ref="AO41:AP41" si="13">AO37-AO38-AO40</f>
        <v>1042510.1186442351</v>
      </c>
      <c r="AP41" s="58">
        <f t="shared" si="13"/>
        <v>2516078.5247149626</v>
      </c>
    </row>
    <row r="42" spans="2:42" x14ac:dyDescent="0.2">
      <c r="B42" t="s">
        <v>73</v>
      </c>
      <c r="C42" s="57">
        <f>MAX(Assumptions!$D$35:$D$39)</f>
        <v>100000</v>
      </c>
      <c r="D42" s="57">
        <f>MAX(Assumptions!$D$35:$D$39)</f>
        <v>100000</v>
      </c>
      <c r="E42" s="57">
        <f>MAX(Assumptions!$D$35:$D$39)</f>
        <v>100000</v>
      </c>
      <c r="F42" s="57">
        <f>MAX(Assumptions!$D$35:$D$39)</f>
        <v>100000</v>
      </c>
      <c r="G42" s="57">
        <f>MAX(Assumptions!$D$35:$D$39)</f>
        <v>100000</v>
      </c>
      <c r="H42" s="57">
        <f>MAX(Assumptions!$D$35:$D$39)</f>
        <v>100000</v>
      </c>
      <c r="I42" s="57">
        <f>MAX(Assumptions!$D$35:$D$39)</f>
        <v>100000</v>
      </c>
      <c r="J42" s="57">
        <f>MAX(Assumptions!$D$35:$D$39)</f>
        <v>100000</v>
      </c>
      <c r="K42" s="57">
        <f>MAX(Assumptions!$D$35:$D$39)</f>
        <v>100000</v>
      </c>
      <c r="L42" s="57">
        <f>MAX(Assumptions!$D$35:$D$39)</f>
        <v>100000</v>
      </c>
      <c r="M42" s="57">
        <f>MAX(Assumptions!$D$35:$D$39)</f>
        <v>100000</v>
      </c>
      <c r="N42" s="57">
        <f>MAX(Assumptions!$D$35:$D$39)</f>
        <v>100000</v>
      </c>
      <c r="O42" s="57">
        <f>MAX(Assumptions!$D$35:$D$39)</f>
        <v>100000</v>
      </c>
      <c r="P42" s="57">
        <f>MAX(Assumptions!$D$35:$D$39)</f>
        <v>100000</v>
      </c>
      <c r="Q42" s="57">
        <f>MAX(Assumptions!$D$35:$D$39)</f>
        <v>100000</v>
      </c>
      <c r="R42" s="57">
        <f>MAX(Assumptions!$D$35:$D$39)</f>
        <v>100000</v>
      </c>
      <c r="S42" s="57">
        <f>MAX(Assumptions!$D$35:$D$39)</f>
        <v>100000</v>
      </c>
      <c r="T42" s="57">
        <f>MAX(Assumptions!$D$35:$D$39)</f>
        <v>100000</v>
      </c>
      <c r="U42" s="57">
        <f>MAX(Assumptions!$D$35:$D$39)</f>
        <v>100000</v>
      </c>
      <c r="V42" s="57">
        <f>MAX(Assumptions!$D$35:$D$39)</f>
        <v>100000</v>
      </c>
      <c r="W42" s="57">
        <f>MAX(Assumptions!$D$35:$D$39)</f>
        <v>100000</v>
      </c>
      <c r="X42" s="57">
        <f>MAX(Assumptions!$D$35:$D$39)</f>
        <v>100000</v>
      </c>
      <c r="Y42" s="57">
        <f>MAX(Assumptions!$D$35:$D$39)</f>
        <v>100000</v>
      </c>
      <c r="Z42" s="57">
        <f>MAX(Assumptions!$D$35:$D$39)</f>
        <v>100000</v>
      </c>
      <c r="AA42" s="57">
        <f>MAX(Assumptions!$D$35:$D$39)</f>
        <v>100000</v>
      </c>
      <c r="AB42" s="57">
        <f>MAX(Assumptions!$D$35:$D$39)</f>
        <v>100000</v>
      </c>
      <c r="AC42" s="57">
        <f>MAX(Assumptions!$D$35:$D$39)</f>
        <v>100000</v>
      </c>
      <c r="AD42" s="57">
        <f>MAX(Assumptions!$D$35:$D$39)</f>
        <v>100000</v>
      </c>
      <c r="AE42" s="57">
        <f>MAX(Assumptions!$D$35:$D$39)</f>
        <v>100000</v>
      </c>
      <c r="AF42" s="57">
        <f>MAX(Assumptions!$D$35:$D$39)</f>
        <v>100000</v>
      </c>
      <c r="AG42" s="57">
        <f>MAX(Assumptions!$D$35:$D$39)</f>
        <v>100000</v>
      </c>
      <c r="AH42" s="57">
        <f>MAX(Assumptions!$D$35:$D$39)</f>
        <v>100000</v>
      </c>
      <c r="AI42" s="57">
        <f>MAX(Assumptions!$D$35:$D$39)</f>
        <v>100000</v>
      </c>
      <c r="AJ42" s="57">
        <f>MAX(Assumptions!$D$35:$D$39)</f>
        <v>100000</v>
      </c>
      <c r="AK42" s="57">
        <f>MAX(Assumptions!$D$35:$D$39)</f>
        <v>100000</v>
      </c>
      <c r="AL42" s="57">
        <f>MAX(Assumptions!$D$35:$D$39)</f>
        <v>100000</v>
      </c>
      <c r="AM42" s="57"/>
      <c r="AN42" s="57">
        <f>MAX($C$42:$AL$42)</f>
        <v>100000</v>
      </c>
      <c r="AO42" s="57">
        <f t="shared" ref="AO42:AP42" si="14">MAX($C$42:$AL$42)</f>
        <v>100000</v>
      </c>
      <c r="AP42" s="57">
        <f t="shared" si="14"/>
        <v>100000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5478-F9B6-AA4C-A31F-B04ADB8074DD}">
  <dimension ref="B2:H93"/>
  <sheetViews>
    <sheetView tabSelected="1" topLeftCell="A61" workbookViewId="0">
      <selection activeCell="E10" sqref="E10"/>
    </sheetView>
  </sheetViews>
  <sheetFormatPr baseColWidth="10" defaultRowHeight="15" x14ac:dyDescent="0.2"/>
  <cols>
    <col min="1" max="1" width="3" customWidth="1"/>
    <col min="2" max="2" width="50" customWidth="1"/>
    <col min="3" max="3" width="17.5" customWidth="1"/>
    <col min="4" max="4" width="21.6640625" customWidth="1"/>
    <col min="5" max="6" width="17.5" customWidth="1"/>
    <col min="7" max="7" width="16.5" bestFit="1" customWidth="1"/>
    <col min="8" max="8" width="17.5" customWidth="1"/>
  </cols>
  <sheetData>
    <row r="2" spans="2:8" ht="19" x14ac:dyDescent="0.25">
      <c r="B2" s="1" t="s">
        <v>78</v>
      </c>
    </row>
    <row r="3" spans="2:8" x14ac:dyDescent="0.2">
      <c r="B3" s="3" t="s">
        <v>79</v>
      </c>
    </row>
    <row r="5" spans="2:8" x14ac:dyDescent="0.2">
      <c r="B5" s="105" t="s">
        <v>80</v>
      </c>
      <c r="C5" s="116"/>
      <c r="D5" s="116"/>
      <c r="E5" s="116"/>
      <c r="F5" s="116"/>
      <c r="G5" s="116"/>
      <c r="H5" s="116"/>
    </row>
    <row r="6" spans="2:8" x14ac:dyDescent="0.2">
      <c r="B6" t="s">
        <v>81</v>
      </c>
      <c r="C6" s="53">
        <f>SUM('Build (Monthly)'!AN37:AP37)</f>
        <v>7781627.4676399436</v>
      </c>
      <c r="D6" s="61">
        <f>C6*Assumptions!$C$6</f>
        <v>143960108.15133896</v>
      </c>
      <c r="E6" s="16" t="s">
        <v>137</v>
      </c>
    </row>
    <row r="7" spans="2:8" x14ac:dyDescent="0.2">
      <c r="B7" t="s">
        <v>143</v>
      </c>
      <c r="C7" s="53">
        <f>C6*Assumptions!$C$9</f>
        <v>1556325.4935279889</v>
      </c>
      <c r="D7" s="61">
        <f>C7*Assumptions!$C$6</f>
        <v>28792021.630267795</v>
      </c>
      <c r="E7" s="16"/>
    </row>
    <row r="8" spans="2:8" x14ac:dyDescent="0.2">
      <c r="B8" t="s">
        <v>145</v>
      </c>
      <c r="C8" s="53">
        <f>C6-C7</f>
        <v>6225301.9741119547</v>
      </c>
      <c r="D8" s="61">
        <f>C8*Assumptions!$C$6</f>
        <v>115168086.52107117</v>
      </c>
      <c r="E8" s="16"/>
    </row>
    <row r="9" spans="2:8" x14ac:dyDescent="0.2">
      <c r="B9" t="s">
        <v>82</v>
      </c>
      <c r="C9" s="59">
        <f>SUM('Build (Monthly)'!AN40:AP40)</f>
        <v>2479440.1244931198</v>
      </c>
      <c r="D9" s="62">
        <f>C9*Assumptions!$C$6</f>
        <v>45869642.303122714</v>
      </c>
    </row>
    <row r="10" spans="2:8" x14ac:dyDescent="0.2">
      <c r="B10" s="4" t="s">
        <v>83</v>
      </c>
      <c r="C10" s="60">
        <f>C8-C9</f>
        <v>3745861.8496188349</v>
      </c>
      <c r="D10" s="61">
        <f>C10*Assumptions!$C$6</f>
        <v>69298444.217948452</v>
      </c>
    </row>
    <row r="11" spans="2:8" x14ac:dyDescent="0.2">
      <c r="B11" t="s">
        <v>84</v>
      </c>
      <c r="C11" s="44">
        <f>C9/C6</f>
        <v>0.31862745098039225</v>
      </c>
    </row>
    <row r="12" spans="2:8" x14ac:dyDescent="0.2">
      <c r="B12" t="s">
        <v>146</v>
      </c>
      <c r="C12" s="44">
        <f>(C9+C7)/C6</f>
        <v>0.5186274509803922</v>
      </c>
    </row>
    <row r="13" spans="2:8" x14ac:dyDescent="0.2">
      <c r="B13" s="4" t="s">
        <v>85</v>
      </c>
      <c r="C13" s="45">
        <f>C10/C6</f>
        <v>0.48137254901960774</v>
      </c>
    </row>
    <row r="14" spans="2:8" x14ac:dyDescent="0.2">
      <c r="B14" t="s">
        <v>86</v>
      </c>
      <c r="C14" s="46">
        <f>C8/C9</f>
        <v>2.5107692307692302</v>
      </c>
      <c r="E14" s="16" t="s">
        <v>87</v>
      </c>
    </row>
    <row r="16" spans="2:8" x14ac:dyDescent="0.2">
      <c r="B16" s="107" t="s">
        <v>88</v>
      </c>
      <c r="C16" s="108"/>
      <c r="D16" s="108"/>
      <c r="E16" s="108"/>
      <c r="F16" s="108"/>
      <c r="G16" s="108"/>
      <c r="H16" s="108"/>
    </row>
    <row r="17" spans="2:8" ht="32" x14ac:dyDescent="0.2">
      <c r="B17" s="38" t="s">
        <v>36</v>
      </c>
      <c r="C17" s="39" t="s">
        <v>37</v>
      </c>
      <c r="D17" s="39" t="s">
        <v>38</v>
      </c>
      <c r="E17" s="39" t="s">
        <v>89</v>
      </c>
      <c r="F17" s="39" t="s">
        <v>90</v>
      </c>
      <c r="G17" s="39" t="s">
        <v>91</v>
      </c>
      <c r="H17" s="39" t="s">
        <v>42</v>
      </c>
    </row>
    <row r="18" spans="2:8" x14ac:dyDescent="0.2">
      <c r="B18" s="31" t="str">
        <f>Assumptions!B35</f>
        <v>Tier 1</v>
      </c>
      <c r="C18" s="76">
        <f>Assumptions!C35</f>
        <v>1</v>
      </c>
      <c r="D18" s="76">
        <f>Assumptions!D35</f>
        <v>500</v>
      </c>
      <c r="E18" s="32">
        <f>Assumptions!E35</f>
        <v>0.25</v>
      </c>
      <c r="F18" s="77">
        <f>Assumptions!G35</f>
        <v>0.24</v>
      </c>
      <c r="G18" s="77">
        <f>Assumptions!F35</f>
        <v>0.04</v>
      </c>
      <c r="H18" s="13">
        <f>G18/F18</f>
        <v>0.16666666666666669</v>
      </c>
    </row>
    <row r="19" spans="2:8" x14ac:dyDescent="0.2">
      <c r="B19" s="31" t="str">
        <f>Assumptions!B36</f>
        <v>Tier 2</v>
      </c>
      <c r="C19" s="76">
        <f>Assumptions!C36</f>
        <v>5</v>
      </c>
      <c r="D19" s="76">
        <f>Assumptions!D36</f>
        <v>2500</v>
      </c>
      <c r="E19" s="32">
        <f>Assumptions!E36</f>
        <v>0.25</v>
      </c>
      <c r="F19" s="77">
        <f>Assumptions!G36</f>
        <v>1.2</v>
      </c>
      <c r="G19" s="77">
        <f>Assumptions!F36</f>
        <v>0.2</v>
      </c>
      <c r="H19" s="13">
        <f t="shared" ref="H19:H22" si="0">G19/F19</f>
        <v>0.16666666666666669</v>
      </c>
    </row>
    <row r="20" spans="2:8" x14ac:dyDescent="0.2">
      <c r="B20" s="31" t="str">
        <f>Assumptions!B37</f>
        <v>Tier 3</v>
      </c>
      <c r="C20" s="76">
        <f>Assumptions!C37</f>
        <v>10</v>
      </c>
      <c r="D20" s="76">
        <f>Assumptions!D37</f>
        <v>10000</v>
      </c>
      <c r="E20" s="32">
        <f>Assumptions!E37</f>
        <v>0.3</v>
      </c>
      <c r="F20" s="77">
        <f>Assumptions!G37</f>
        <v>2.4</v>
      </c>
      <c r="G20" s="77">
        <f>Assumptions!F37</f>
        <v>0.8</v>
      </c>
      <c r="H20" s="13">
        <f t="shared" si="0"/>
        <v>0.33333333333333337</v>
      </c>
    </row>
    <row r="21" spans="2:8" x14ac:dyDescent="0.2">
      <c r="B21" s="31" t="str">
        <f>Assumptions!B38</f>
        <v>Tier 4</v>
      </c>
      <c r="C21" s="76">
        <f>Assumptions!C38</f>
        <v>50</v>
      </c>
      <c r="D21" s="76">
        <f>Assumptions!D38</f>
        <v>50000</v>
      </c>
      <c r="E21" s="32">
        <f>Assumptions!E38</f>
        <v>0.15</v>
      </c>
      <c r="F21" s="77">
        <f>Assumptions!G38</f>
        <v>12</v>
      </c>
      <c r="G21" s="77">
        <f>Assumptions!F38</f>
        <v>4</v>
      </c>
      <c r="H21" s="13">
        <f t="shared" si="0"/>
        <v>0.33333333333333331</v>
      </c>
    </row>
    <row r="22" spans="2:8" x14ac:dyDescent="0.2">
      <c r="B22" s="31" t="str">
        <f>Assumptions!B39</f>
        <v>Tier 5</v>
      </c>
      <c r="C22" s="76">
        <f>Assumptions!C39</f>
        <v>100</v>
      </c>
      <c r="D22" s="76">
        <f>Assumptions!D39</f>
        <v>100000</v>
      </c>
      <c r="E22" s="32">
        <f>Assumptions!E39</f>
        <v>0.05</v>
      </c>
      <c r="F22" s="77">
        <f>Assumptions!G39</f>
        <v>24</v>
      </c>
      <c r="G22" s="77">
        <f>Assumptions!F39</f>
        <v>8</v>
      </c>
      <c r="H22" s="13">
        <f t="shared" si="0"/>
        <v>0.33333333333333331</v>
      </c>
    </row>
    <row r="23" spans="2:8" x14ac:dyDescent="0.2">
      <c r="B23" s="19" t="s">
        <v>92</v>
      </c>
      <c r="C23" s="63">
        <f>Assumptions!C40</f>
        <v>17</v>
      </c>
      <c r="D23" s="64">
        <f>Assumptions!D40</f>
        <v>16250</v>
      </c>
      <c r="E23" s="40">
        <f>Assumptions!E40</f>
        <v>1</v>
      </c>
      <c r="F23" s="63">
        <f>Assumptions!G40</f>
        <v>4.08</v>
      </c>
      <c r="G23" s="63">
        <f>Assumptions!F40</f>
        <v>1.2999999999999998</v>
      </c>
      <c r="H23" s="21">
        <f>G23/F23</f>
        <v>0.31862745098039214</v>
      </c>
    </row>
    <row r="25" spans="2:8" x14ac:dyDescent="0.2">
      <c r="B25" s="107" t="s">
        <v>93</v>
      </c>
      <c r="C25" s="108"/>
      <c r="D25" s="108"/>
      <c r="E25" s="108"/>
      <c r="F25" s="108"/>
      <c r="G25" s="108"/>
      <c r="H25" s="108"/>
    </row>
    <row r="26" spans="2:8" x14ac:dyDescent="0.2">
      <c r="C26" s="18" t="s">
        <v>75</v>
      </c>
      <c r="D26" s="18" t="s">
        <v>76</v>
      </c>
      <c r="E26" s="18" t="s">
        <v>77</v>
      </c>
      <c r="F26" s="18" t="s">
        <v>94</v>
      </c>
      <c r="G26" s="52" t="s">
        <v>140</v>
      </c>
    </row>
    <row r="27" spans="2:8" x14ac:dyDescent="0.2">
      <c r="B27" t="s">
        <v>95</v>
      </c>
      <c r="C27" s="33">
        <f>'Build (Monthly)'!AN21</f>
        <v>95352.956344010992</v>
      </c>
      <c r="D27" s="33">
        <f>'Build (Monthly)'!AO21</f>
        <v>530809.63271091424</v>
      </c>
      <c r="E27" s="33">
        <f>'Build (Monthly)'!AP21</f>
        <v>1281099.0451705514</v>
      </c>
      <c r="F27" s="25">
        <f>SUM(C27:E27)</f>
        <v>1907261.6342254765</v>
      </c>
    </row>
    <row r="28" spans="2:8" x14ac:dyDescent="0.2">
      <c r="B28" t="s">
        <v>96</v>
      </c>
      <c r="C28" s="65">
        <f>'Build (Monthly)'!AN34</f>
        <v>1621000.2578481869</v>
      </c>
      <c r="D28" s="65">
        <f>'Build (Monthly)'!AO34</f>
        <v>9023763.7560855411</v>
      </c>
      <c r="E28" s="65">
        <f>'Build (Monthly)'!AP34</f>
        <v>21778683.767899372</v>
      </c>
      <c r="F28" s="57">
        <f>SUM(C28:E28)</f>
        <v>32423447.781833097</v>
      </c>
      <c r="G28" s="67">
        <f>F28*Assumptions!$C$6</f>
        <v>599833783.96391225</v>
      </c>
    </row>
    <row r="29" spans="2:8" x14ac:dyDescent="0.2">
      <c r="B29" s="4" t="s">
        <v>97</v>
      </c>
      <c r="C29" s="66">
        <f>'Build (Monthly)'!AN37</f>
        <v>389040.06188356486</v>
      </c>
      <c r="D29" s="66">
        <f>'Build (Monthly)'!AO37</f>
        <v>2165703.3014605297</v>
      </c>
      <c r="E29" s="66">
        <f>'Build (Monthly)'!AP37</f>
        <v>5226884.1042958489</v>
      </c>
      <c r="F29" s="58">
        <f>SUM(C29:E29)</f>
        <v>7781627.4676399436</v>
      </c>
      <c r="G29" s="68">
        <f>F29*Assumptions!$C$6</f>
        <v>143960108.15133896</v>
      </c>
    </row>
    <row r="30" spans="2:8" x14ac:dyDescent="0.2">
      <c r="B30" s="4" t="s">
        <v>143</v>
      </c>
      <c r="C30" s="66">
        <f>C29*Assumptions!$C$9</f>
        <v>77808.01237671297</v>
      </c>
      <c r="D30" s="66">
        <f>D29*Assumptions!$C$9</f>
        <v>433140.66029210598</v>
      </c>
      <c r="E30" s="66">
        <f>E29*Assumptions!$C$9</f>
        <v>1045376.8208591698</v>
      </c>
      <c r="F30" s="58">
        <f>SUM(C30:E30)</f>
        <v>1556325.4935279889</v>
      </c>
      <c r="G30" s="68">
        <f>F30*Assumptions!$C$6</f>
        <v>28792021.630267795</v>
      </c>
    </row>
    <row r="31" spans="2:8" x14ac:dyDescent="0.2">
      <c r="B31" s="4" t="s">
        <v>145</v>
      </c>
      <c r="C31" s="66">
        <f>C29-C30</f>
        <v>311232.04950685188</v>
      </c>
      <c r="D31" s="66">
        <f>D29-D30</f>
        <v>1732562.6411684237</v>
      </c>
      <c r="E31" s="66">
        <f>E29-E30</f>
        <v>4181507.2834366793</v>
      </c>
      <c r="F31" s="58">
        <f>SUM(C31:E31)</f>
        <v>6225301.9741119547</v>
      </c>
      <c r="G31" s="68">
        <f>F31*Assumptions!$C$6</f>
        <v>115168086.52107117</v>
      </c>
    </row>
    <row r="32" spans="2:8" x14ac:dyDescent="0.2">
      <c r="B32" t="s">
        <v>72</v>
      </c>
      <c r="C32" s="34">
        <f>'Build (Monthly)'!AN39</f>
        <v>7.6282365075208807</v>
      </c>
      <c r="D32" s="34">
        <f>'Build (Monthly)'!AO39</f>
        <v>42.464770616873139</v>
      </c>
      <c r="E32" s="34">
        <f>'Build (Monthly)'!AP39</f>
        <v>102.4879236136441</v>
      </c>
      <c r="F32" s="30">
        <f>SUM(C32:E32)</f>
        <v>152.58093073803812</v>
      </c>
      <c r="G32" s="67"/>
    </row>
    <row r="33" spans="2:8" x14ac:dyDescent="0.2">
      <c r="B33" s="4" t="s">
        <v>82</v>
      </c>
      <c r="C33" s="66">
        <f>'Build (Monthly)'!AN40</f>
        <v>123958.8432472143</v>
      </c>
      <c r="D33" s="66">
        <f>'Build (Monthly)'!AO40</f>
        <v>690052.52252418862</v>
      </c>
      <c r="E33" s="66">
        <f>'Build (Monthly)'!AP40</f>
        <v>1665428.7587217167</v>
      </c>
      <c r="F33" s="58">
        <f>SUM(C33:E33)</f>
        <v>2479440.1244931198</v>
      </c>
      <c r="G33" s="68">
        <f>F33*Assumptions!$C$6</f>
        <v>45869642.303122714</v>
      </c>
    </row>
    <row r="34" spans="2:8" x14ac:dyDescent="0.2">
      <c r="B34" s="4" t="s">
        <v>83</v>
      </c>
      <c r="C34" s="58">
        <f>C31-C33</f>
        <v>187273.20625963758</v>
      </c>
      <c r="D34" s="58">
        <f>D31-D33</f>
        <v>1042510.1186442351</v>
      </c>
      <c r="E34" s="58">
        <f>E31-E33</f>
        <v>2516078.5247149626</v>
      </c>
      <c r="F34" s="58">
        <f>F31-F33</f>
        <v>3745861.8496188349</v>
      </c>
      <c r="G34" s="68">
        <f>F34*Assumptions!$C$6</f>
        <v>69298444.217948452</v>
      </c>
    </row>
    <row r="35" spans="2:8" x14ac:dyDescent="0.2">
      <c r="B35" s="4" t="s">
        <v>42</v>
      </c>
      <c r="C35" s="13">
        <f>C33/C29</f>
        <v>0.31862745098039219</v>
      </c>
      <c r="D35" s="13">
        <f t="shared" ref="D35:E35" si="1">D33/D29</f>
        <v>0.31862745098039225</v>
      </c>
      <c r="E35" s="13">
        <f t="shared" si="1"/>
        <v>0.31862745098039219</v>
      </c>
      <c r="F35" s="14">
        <f>F33/F29</f>
        <v>0.31862745098039225</v>
      </c>
    </row>
    <row r="36" spans="2:8" x14ac:dyDescent="0.2">
      <c r="B36" s="4" t="s">
        <v>85</v>
      </c>
      <c r="C36" s="14">
        <f>C34/C29</f>
        <v>0.4813725490196078</v>
      </c>
      <c r="D36" s="14">
        <f t="shared" ref="D36:E36" si="2">D34/D29</f>
        <v>0.48137254901960769</v>
      </c>
      <c r="E36" s="14">
        <f t="shared" si="2"/>
        <v>0.48137254901960785</v>
      </c>
      <c r="F36" s="14">
        <f>F34/F29</f>
        <v>0.48137254901960774</v>
      </c>
    </row>
    <row r="37" spans="2:8" x14ac:dyDescent="0.2">
      <c r="B37" s="4" t="s">
        <v>98</v>
      </c>
      <c r="C37" s="56">
        <f>C29/C33</f>
        <v>3.1384615384615384</v>
      </c>
      <c r="D37" s="56">
        <f t="shared" ref="D37:E37" si="3">D29/D33</f>
        <v>3.1384615384615375</v>
      </c>
      <c r="E37" s="56">
        <f t="shared" si="3"/>
        <v>3.138461538461538</v>
      </c>
      <c r="F37" s="56">
        <f>F29/F33</f>
        <v>3.138461538461538</v>
      </c>
    </row>
    <row r="39" spans="2:8" x14ac:dyDescent="0.2">
      <c r="B39" s="107" t="s">
        <v>99</v>
      </c>
      <c r="C39" s="108"/>
      <c r="D39" s="108"/>
      <c r="E39" s="108"/>
      <c r="F39" s="108"/>
      <c r="G39" s="108"/>
      <c r="H39" s="108"/>
    </row>
    <row r="40" spans="2:8" x14ac:dyDescent="0.2">
      <c r="B40" s="4" t="s">
        <v>100</v>
      </c>
      <c r="C40" s="59">
        <f>MAX(Assumptions!D35:D39)</f>
        <v>100000</v>
      </c>
    </row>
    <row r="41" spans="2:8" x14ac:dyDescent="0.2">
      <c r="B41" s="4" t="s">
        <v>101</v>
      </c>
      <c r="C41" s="69">
        <f>F33/F32</f>
        <v>16250.000000000002</v>
      </c>
    </row>
    <row r="42" spans="2:8" x14ac:dyDescent="0.2">
      <c r="B42" s="4" t="s">
        <v>102</v>
      </c>
      <c r="C42" s="47">
        <f>F27</f>
        <v>1907261.6342254765</v>
      </c>
    </row>
    <row r="43" spans="2:8" x14ac:dyDescent="0.2">
      <c r="B43" s="4" t="s">
        <v>103</v>
      </c>
      <c r="C43" s="59">
        <f>MAX('Build (Monthly)'!C37:AL37)</f>
        <v>574447.93091765174</v>
      </c>
    </row>
    <row r="45" spans="2:8" x14ac:dyDescent="0.2">
      <c r="B45" s="105" t="s">
        <v>104</v>
      </c>
      <c r="C45" s="116"/>
      <c r="D45" s="116"/>
      <c r="E45" s="116"/>
      <c r="F45" s="116"/>
      <c r="G45" s="116"/>
      <c r="H45" s="116"/>
    </row>
    <row r="46" spans="2:8" ht="32" x14ac:dyDescent="0.2">
      <c r="B46" s="38" t="s">
        <v>105</v>
      </c>
      <c r="C46" s="39" t="s">
        <v>106</v>
      </c>
      <c r="D46" s="39" t="s">
        <v>107</v>
      </c>
      <c r="E46" s="39" t="s">
        <v>83</v>
      </c>
      <c r="F46" s="39" t="s">
        <v>42</v>
      </c>
      <c r="G46" s="39" t="s">
        <v>85</v>
      </c>
      <c r="H46" s="39" t="s">
        <v>108</v>
      </c>
    </row>
    <row r="47" spans="2:8" x14ac:dyDescent="0.2">
      <c r="B47" s="4" t="s">
        <v>109</v>
      </c>
      <c r="C47" s="35">
        <v>1</v>
      </c>
      <c r="D47" s="57">
        <f>$F$33*$C47</f>
        <v>2479440.1244931198</v>
      </c>
      <c r="E47" s="57">
        <f>$F$31-D47</f>
        <v>3745861.8496188349</v>
      </c>
      <c r="F47" s="13">
        <f>D47/$F$29</f>
        <v>0.31862745098039225</v>
      </c>
      <c r="G47" s="13">
        <f>E47/$F$29</f>
        <v>0.48137254901960774</v>
      </c>
      <c r="H47" s="36">
        <f>1-_xlfn.POISSON.DIST(ROUND($C47*$F$32,0)-1,$F$32,TRUE)</f>
        <v>0.49722659875942621</v>
      </c>
    </row>
    <row r="48" spans="2:8" x14ac:dyDescent="0.2">
      <c r="B48" s="4" t="s">
        <v>110</v>
      </c>
      <c r="C48" s="35">
        <v>1.5</v>
      </c>
      <c r="D48" s="57">
        <f t="shared" ref="D48:D51" si="4">$F$33*$C48</f>
        <v>3719160.1867396794</v>
      </c>
      <c r="E48" s="57">
        <f>$F$31-D48</f>
        <v>2506141.7873722753</v>
      </c>
      <c r="F48" s="13">
        <f t="shared" ref="F48:F51" si="5">D48/$F$29</f>
        <v>0.47794117647058831</v>
      </c>
      <c r="G48" s="13">
        <f t="shared" ref="G48:G51" si="6">E48/$F$29</f>
        <v>0.32205882352941168</v>
      </c>
      <c r="H48" s="36">
        <f t="shared" ref="H48:H51" si="7">1-_xlfn.POISSON.DIST(ROUND($C48*$F$32,0)-1,$F$32,TRUE)</f>
        <v>4.9489711217987065E-9</v>
      </c>
    </row>
    <row r="49" spans="2:8" x14ac:dyDescent="0.2">
      <c r="B49" s="4" t="s">
        <v>111</v>
      </c>
      <c r="C49" s="35">
        <v>2</v>
      </c>
      <c r="D49" s="57">
        <f t="shared" si="4"/>
        <v>4958880.2489862395</v>
      </c>
      <c r="E49" s="57">
        <f>$F$31-D49</f>
        <v>1266421.7251257151</v>
      </c>
      <c r="F49" s="13">
        <f t="shared" si="5"/>
        <v>0.63725490196078449</v>
      </c>
      <c r="G49" s="13">
        <f t="shared" si="6"/>
        <v>0.16274509803921552</v>
      </c>
      <c r="H49" s="36">
        <f t="shared" si="7"/>
        <v>0</v>
      </c>
    </row>
    <row r="50" spans="2:8" x14ac:dyDescent="0.2">
      <c r="B50" s="19" t="s">
        <v>112</v>
      </c>
      <c r="C50" s="41">
        <f>$C$14</f>
        <v>2.5107692307692302</v>
      </c>
      <c r="D50" s="70">
        <f t="shared" si="4"/>
        <v>6225301.9741119547</v>
      </c>
      <c r="E50" s="70">
        <f>$F$31-D50</f>
        <v>0</v>
      </c>
      <c r="F50" s="42">
        <f t="shared" ref="F50" si="8">D50/$F$29</f>
        <v>0.79999999999999993</v>
      </c>
      <c r="G50" s="42">
        <f t="shared" ref="G50" si="9">E50/$F$29</f>
        <v>0</v>
      </c>
      <c r="H50" s="43">
        <f t="shared" si="7"/>
        <v>0</v>
      </c>
    </row>
    <row r="53" spans="2:8" x14ac:dyDescent="0.2">
      <c r="B53" s="107" t="s">
        <v>113</v>
      </c>
      <c r="C53" s="108"/>
      <c r="D53" s="108"/>
      <c r="E53" s="108"/>
      <c r="F53" s="108"/>
      <c r="G53" s="108"/>
      <c r="H53" s="108"/>
    </row>
    <row r="54" spans="2:8" x14ac:dyDescent="0.2">
      <c r="B54" s="37" t="s">
        <v>114</v>
      </c>
    </row>
    <row r="55" spans="2:8" x14ac:dyDescent="0.2">
      <c r="B55" s="84" t="s">
        <v>210</v>
      </c>
    </row>
    <row r="56" spans="2:8" x14ac:dyDescent="0.2">
      <c r="B56" s="80" t="s">
        <v>196</v>
      </c>
    </row>
    <row r="57" spans="2:8" x14ac:dyDescent="0.2">
      <c r="B57" s="2" t="s">
        <v>115</v>
      </c>
    </row>
    <row r="58" spans="2:8" x14ac:dyDescent="0.2">
      <c r="B58" s="2" t="s">
        <v>147</v>
      </c>
    </row>
    <row r="60" spans="2:8" x14ac:dyDescent="0.2">
      <c r="B60" s="117" t="s">
        <v>167</v>
      </c>
      <c r="C60" s="116"/>
      <c r="D60" s="116"/>
      <c r="E60" s="116"/>
      <c r="F60" s="116"/>
      <c r="G60" s="116"/>
      <c r="H60" s="116"/>
    </row>
    <row r="61" spans="2:8" x14ac:dyDescent="0.2">
      <c r="B61" s="81" t="s">
        <v>168</v>
      </c>
    </row>
    <row r="62" spans="2:8" x14ac:dyDescent="0.2">
      <c r="B62" s="82" t="s">
        <v>169</v>
      </c>
      <c r="C62" s="83">
        <f>SUMPRODUCT(Assumptions!E35:E36,Assumptions!F35:F36)</f>
        <v>6.0000000000000005E-2</v>
      </c>
      <c r="E62" s="85" t="s">
        <v>170</v>
      </c>
    </row>
    <row r="63" spans="2:8" x14ac:dyDescent="0.2">
      <c r="B63" s="82" t="s">
        <v>171</v>
      </c>
      <c r="C63" s="83">
        <f>SUMPRODUCT(Assumptions!E37:E39,Assumptions!F37:F39)</f>
        <v>1.24</v>
      </c>
      <c r="E63" s="85" t="s">
        <v>172</v>
      </c>
    </row>
    <row r="64" spans="2:8" x14ac:dyDescent="0.2">
      <c r="B64" s="82" t="s">
        <v>173</v>
      </c>
      <c r="C64" s="86">
        <f>F27</f>
        <v>1907261.6342254765</v>
      </c>
    </row>
    <row r="66" spans="2:8" x14ac:dyDescent="0.2">
      <c r="B66" s="90" t="s">
        <v>105</v>
      </c>
      <c r="C66" s="93" t="s">
        <v>174</v>
      </c>
      <c r="D66" s="93" t="s">
        <v>175</v>
      </c>
      <c r="E66" s="93" t="s">
        <v>176</v>
      </c>
      <c r="F66" s="87" t="s">
        <v>42</v>
      </c>
      <c r="G66" s="87" t="s">
        <v>177</v>
      </c>
      <c r="H66" s="87" t="s">
        <v>83</v>
      </c>
    </row>
    <row r="67" spans="2:8" x14ac:dyDescent="0.2">
      <c r="B67" s="89" t="s">
        <v>178</v>
      </c>
      <c r="C67" s="92">
        <v>1</v>
      </c>
      <c r="D67" s="95">
        <f>Assumptions!$C$31/C67</f>
        <v>12499.999999999998</v>
      </c>
      <c r="E67" s="97">
        <f>($C$62+$C$63*C67)*$C$64</f>
        <v>2479440.1244931198</v>
      </c>
      <c r="F67" s="99">
        <f>E67/$F$29</f>
        <v>0.31862745098039225</v>
      </c>
      <c r="G67" s="99">
        <f>(E67+$F$30)/$F$29</f>
        <v>0.5186274509803922</v>
      </c>
      <c r="H67" s="97">
        <f>$F$31-E67</f>
        <v>3745861.8496188349</v>
      </c>
    </row>
    <row r="68" spans="2:8" x14ac:dyDescent="0.2">
      <c r="B68" s="88" t="s">
        <v>179</v>
      </c>
      <c r="C68" s="91">
        <v>1.5</v>
      </c>
      <c r="D68" s="95">
        <f>Assumptions!$C$31/C68</f>
        <v>8333.3333333333321</v>
      </c>
      <c r="E68" s="97">
        <f t="shared" ref="E68:E72" si="10">($C$62+$C$63*C68)*$C$64</f>
        <v>3661942.3377129147</v>
      </c>
      <c r="F68" s="99">
        <f t="shared" ref="F68:F72" si="11">E68/$F$29</f>
        <v>0.47058823529411764</v>
      </c>
      <c r="G68" s="99">
        <f t="shared" ref="G68:G72" si="12">(E68+$F$30)/$F$29</f>
        <v>0.67058823529411771</v>
      </c>
      <c r="H68" s="97">
        <f t="shared" ref="H68:H72" si="13">$F$31-E68</f>
        <v>2563359.63639904</v>
      </c>
    </row>
    <row r="69" spans="2:8" x14ac:dyDescent="0.2">
      <c r="B69" s="88" t="s">
        <v>180</v>
      </c>
      <c r="C69" s="91">
        <v>2</v>
      </c>
      <c r="D69" s="95">
        <f>Assumptions!$C$31/C69</f>
        <v>6249.9999999999991</v>
      </c>
      <c r="E69" s="97">
        <f t="shared" si="10"/>
        <v>4844444.5509327101</v>
      </c>
      <c r="F69" s="99">
        <f t="shared" si="11"/>
        <v>0.62254901960784315</v>
      </c>
      <c r="G69" s="99">
        <f t="shared" si="12"/>
        <v>0.82254901960784321</v>
      </c>
      <c r="H69" s="97">
        <f t="shared" si="13"/>
        <v>1380857.4231792446</v>
      </c>
    </row>
    <row r="70" spans="2:8" x14ac:dyDescent="0.2">
      <c r="B70" s="88" t="s">
        <v>181</v>
      </c>
      <c r="C70" s="91">
        <v>2.5</v>
      </c>
      <c r="D70" s="95">
        <f>Assumptions!$C$31/C70</f>
        <v>4999.9999999999991</v>
      </c>
      <c r="E70" s="97">
        <f t="shared" si="10"/>
        <v>6026946.7641525064</v>
      </c>
      <c r="F70" s="99">
        <f t="shared" si="11"/>
        <v>0.77450980392156876</v>
      </c>
      <c r="G70" s="99">
        <f t="shared" si="12"/>
        <v>0.97450980392156883</v>
      </c>
      <c r="H70" s="97">
        <f t="shared" si="13"/>
        <v>198355.20995944832</v>
      </c>
    </row>
    <row r="71" spans="2:8" x14ac:dyDescent="0.2">
      <c r="B71" s="118" t="s">
        <v>182</v>
      </c>
      <c r="C71" s="119">
        <f>($F$31/$C$64-$C$62)/$C$63</f>
        <v>2.5838709677419351</v>
      </c>
      <c r="D71" s="120">
        <f>Assumptions!$C$31/C71</f>
        <v>4837.7028714107364</v>
      </c>
      <c r="E71" s="121">
        <f t="shared" ref="E71" si="14">($C$62+$C$63*C71)*$C$64</f>
        <v>6225301.9741119547</v>
      </c>
      <c r="F71" s="122">
        <f t="shared" si="11"/>
        <v>0.79999999999999993</v>
      </c>
      <c r="G71" s="122">
        <f t="shared" ref="G71" si="15">(E71+$F$30)/$F$29</f>
        <v>1</v>
      </c>
      <c r="H71" s="121">
        <f t="shared" ref="H71" si="16">$F$31-E71</f>
        <v>0</v>
      </c>
    </row>
    <row r="75" spans="2:8" x14ac:dyDescent="0.2">
      <c r="B75" s="117" t="s">
        <v>198</v>
      </c>
      <c r="C75" s="116"/>
      <c r="D75" s="116"/>
      <c r="E75" s="116"/>
      <c r="F75" s="116"/>
      <c r="G75" s="116"/>
      <c r="H75" s="116"/>
    </row>
    <row r="76" spans="2:8" x14ac:dyDescent="0.2">
      <c r="B76" s="85" t="s">
        <v>199</v>
      </c>
    </row>
    <row r="77" spans="2:8" x14ac:dyDescent="0.2">
      <c r="B77" s="82" t="s">
        <v>183</v>
      </c>
      <c r="C77" s="96">
        <f>C31</f>
        <v>311232.04950685188</v>
      </c>
    </row>
    <row r="78" spans="2:8" x14ac:dyDescent="0.2">
      <c r="B78" s="82" t="s">
        <v>184</v>
      </c>
      <c r="C78" s="96">
        <f>C33</f>
        <v>123958.8432472143</v>
      </c>
    </row>
    <row r="79" spans="2:8" x14ac:dyDescent="0.2">
      <c r="B79" s="82" t="s">
        <v>185</v>
      </c>
      <c r="C79" s="94">
        <f>C27</f>
        <v>95352.956344010992</v>
      </c>
    </row>
    <row r="80" spans="2:8" x14ac:dyDescent="0.2">
      <c r="B80" s="82" t="s">
        <v>186</v>
      </c>
      <c r="C80" s="100">
        <f>'Build (Monthly)'!AN26</f>
        <v>4767.64781720055</v>
      </c>
    </row>
    <row r="81" spans="2:8" x14ac:dyDescent="0.2">
      <c r="B81" s="82" t="s">
        <v>187</v>
      </c>
      <c r="C81" s="101">
        <f>C80*Assumptions!$C$30</f>
        <v>0.38141182537604401</v>
      </c>
    </row>
    <row r="82" spans="2:8" x14ac:dyDescent="0.2">
      <c r="B82" s="82" t="s">
        <v>200</v>
      </c>
      <c r="C82" s="98">
        <f>Assumptions!$D$39/C77</f>
        <v>0.32130367087338951</v>
      </c>
      <c r="E82" s="85" t="s">
        <v>201</v>
      </c>
    </row>
    <row r="83" spans="2:8" x14ac:dyDescent="0.2">
      <c r="B83" s="82" t="s">
        <v>188</v>
      </c>
      <c r="C83" s="96">
        <f>SUMPRODUCT('Build (Monthly)'!AN22:AN25,Assumptions!$D$35:$D$38)*Assumptions!$C$30*Assumptions!$C$8</f>
        <v>85817.660709609918</v>
      </c>
    </row>
    <row r="85" spans="2:8" x14ac:dyDescent="0.2">
      <c r="B85" s="90" t="s">
        <v>189</v>
      </c>
      <c r="C85" s="93" t="s">
        <v>190</v>
      </c>
      <c r="D85" s="93" t="s">
        <v>191</v>
      </c>
      <c r="E85" s="93" t="s">
        <v>192</v>
      </c>
      <c r="F85" s="87" t="s">
        <v>193</v>
      </c>
      <c r="G85" s="87" t="s">
        <v>202</v>
      </c>
      <c r="H85" s="87" t="s">
        <v>203</v>
      </c>
    </row>
    <row r="86" spans="2:8" x14ac:dyDescent="0.2">
      <c r="B86" s="89" t="s">
        <v>204</v>
      </c>
      <c r="C86" s="102">
        <v>0</v>
      </c>
      <c r="D86" s="97">
        <f>$C$83+C86*Assumptions!$D$39*Assumptions!$C$8</f>
        <v>85817.660709609918</v>
      </c>
      <c r="E86" s="99">
        <f>D86/$C$29</f>
        <v>0.2205882352941177</v>
      </c>
      <c r="F86" s="97">
        <f>$C$31-D86</f>
        <v>225414.38879724196</v>
      </c>
      <c r="G86" s="99">
        <f>_xlfn.POISSON.DIST(C86,$C$81,FALSE)</f>
        <v>0.68289659755418297</v>
      </c>
      <c r="H86" s="103" t="str">
        <f>IF(F86&gt;0,"Yes","No")</f>
        <v>Yes</v>
      </c>
    </row>
    <row r="87" spans="2:8" x14ac:dyDescent="0.2">
      <c r="B87" s="88" t="s">
        <v>205</v>
      </c>
      <c r="C87" s="102">
        <v>1</v>
      </c>
      <c r="D87" s="97">
        <f>$C$83+C87*Assumptions!$D$39*Assumptions!$C$8</f>
        <v>185817.66070960992</v>
      </c>
      <c r="E87" s="99">
        <f>D87/$C$29</f>
        <v>0.47763117199282928</v>
      </c>
      <c r="F87" s="97">
        <f>$C$31-D87</f>
        <v>125414.38879724196</v>
      </c>
      <c r="G87" s="99">
        <f>_xlfn.POISSON.DIST(C87,$C$81,FALSE)</f>
        <v>0.26046483781623064</v>
      </c>
      <c r="H87" s="103" t="str">
        <f>IF(F87&gt;0,"Yes","No")</f>
        <v>Yes</v>
      </c>
    </row>
    <row r="88" spans="2:8" x14ac:dyDescent="0.2">
      <c r="B88" s="123" t="s">
        <v>206</v>
      </c>
      <c r="C88" s="124"/>
      <c r="D88" s="124"/>
      <c r="E88" s="124"/>
      <c r="F88" s="124"/>
      <c r="G88" s="125">
        <f>SUM(G86:G87)</f>
        <v>0.94336143537041361</v>
      </c>
      <c r="H88" s="126" t="s">
        <v>207</v>
      </c>
    </row>
    <row r="91" spans="2:8" x14ac:dyDescent="0.2">
      <c r="B91" s="127" t="s">
        <v>194</v>
      </c>
      <c r="C91" s="108"/>
      <c r="D91" s="108"/>
      <c r="E91" s="108"/>
    </row>
    <row r="92" spans="2:8" x14ac:dyDescent="0.2">
      <c r="B92" s="84" t="s">
        <v>197</v>
      </c>
    </row>
    <row r="93" spans="2:8" x14ac:dyDescent="0.2">
      <c r="B93" s="84"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 Me</vt:lpstr>
      <vt:lpstr>Assumptions</vt:lpstr>
      <vt:lpstr>Build (Monthly)</vt:lpstr>
      <vt:lpstr>Insurance ROI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Johannes Le Roux</cp:lastModifiedBy>
  <cp:revision>0</cp:revision>
  <dcterms:created xsi:type="dcterms:W3CDTF">2026-06-25T13:44:26Z</dcterms:created>
  <dcterms:modified xsi:type="dcterms:W3CDTF">2026-07-29T15:20:35Z</dcterms:modified>
  <dc:language>en-US</dc:language>
</cp:coreProperties>
</file>