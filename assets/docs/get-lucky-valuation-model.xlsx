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hannesleroux/Desktop/Ernie Deal/"/>
    </mc:Choice>
  </mc:AlternateContent>
  <xr:revisionPtr revIDLastSave="0" documentId="13_ncr:1_{EDB22455-052E-D045-8828-6F3BBA1379FE}" xr6:coauthVersionLast="47" xr6:coauthVersionMax="47" xr10:uidLastSave="{00000000-0000-0000-0000-000000000000}"/>
  <bookViews>
    <workbookView xWindow="0" yWindow="760" windowWidth="28800" windowHeight="17580" tabRatio="500" activeTab="3" xr2:uid="{00000000-000D-0000-FFFF-FFFF00000000}"/>
  </bookViews>
  <sheets>
    <sheet name="Read Me" sheetId="1" r:id="rId1"/>
    <sheet name="Assumptions" sheetId="2" r:id="rId2"/>
    <sheet name="Build (Monthly)" sheetId="3" r:id="rId3"/>
    <sheet name="Valuation" sheetId="4" r:id="rId4"/>
    <sheet name="Ernie's Stak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4" l="1"/>
  <c r="D11" i="4"/>
  <c r="C11" i="4"/>
  <c r="C8" i="4"/>
  <c r="C7" i="4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19" i="4"/>
  <c r="C7" i="2"/>
  <c r="E12" i="5"/>
  <c r="D12" i="5"/>
  <c r="E20" i="4"/>
  <c r="D20" i="4"/>
  <c r="C20" i="4"/>
  <c r="D19" i="4"/>
  <c r="E7" i="4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C34" i="2"/>
  <c r="C32" i="2"/>
  <c r="C31" i="2"/>
  <c r="C25" i="2"/>
  <c r="E7" i="5"/>
  <c r="D7" i="5"/>
  <c r="C7" i="5"/>
  <c r="E15" i="4"/>
  <c r="E6" i="5" s="1"/>
  <c r="E8" i="5" s="1"/>
  <c r="D15" i="4"/>
  <c r="D6" i="5" s="1"/>
  <c r="C15" i="4"/>
  <c r="C6" i="5" s="1"/>
  <c r="E14" i="4"/>
  <c r="D14" i="4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C6" i="3"/>
  <c r="C9" i="3" s="1"/>
  <c r="C8" i="5" l="1"/>
  <c r="D8" i="5"/>
  <c r="E11" i="5"/>
  <c r="C8" i="3"/>
  <c r="C10" i="3" s="1"/>
  <c r="C14" i="3" s="1"/>
  <c r="E10" i="5" l="1"/>
  <c r="C12" i="5"/>
  <c r="D11" i="5"/>
  <c r="D10" i="5"/>
  <c r="C10" i="5"/>
  <c r="C11" i="5"/>
  <c r="C6" i="4"/>
  <c r="D6" i="3"/>
  <c r="D9" i="3" l="1"/>
  <c r="D8" i="3"/>
  <c r="C12" i="3"/>
  <c r="C9" i="4"/>
  <c r="D10" i="3" l="1"/>
  <c r="D14" i="3" s="1"/>
  <c r="C14" i="4"/>
  <c r="C16" i="4" s="1"/>
  <c r="C19" i="4" s="1"/>
  <c r="C10" i="4"/>
  <c r="E6" i="3"/>
  <c r="D12" i="3"/>
  <c r="E8" i="3" l="1"/>
  <c r="E9" i="3"/>
  <c r="E10" i="3" l="1"/>
  <c r="E14" i="3" s="1"/>
  <c r="F6" i="3" l="1"/>
  <c r="E12" i="3"/>
  <c r="F8" i="3" l="1"/>
  <c r="F9" i="3"/>
  <c r="F10" i="3" l="1"/>
  <c r="F14" i="3" s="1"/>
  <c r="G6" i="3" l="1"/>
  <c r="F12" i="3"/>
  <c r="G8" i="3" l="1"/>
  <c r="G9" i="3"/>
  <c r="G10" i="3" l="1"/>
  <c r="G14" i="3" s="1"/>
  <c r="H6" i="3" l="1"/>
  <c r="G12" i="3"/>
  <c r="H8" i="3" l="1"/>
  <c r="H9" i="3"/>
  <c r="H10" i="3" l="1"/>
  <c r="H14" i="3" s="1"/>
  <c r="I6" i="3" l="1"/>
  <c r="H12" i="3"/>
  <c r="I8" i="3" l="1"/>
  <c r="I9" i="3"/>
  <c r="I10" i="3" l="1"/>
  <c r="I14" i="3" s="1"/>
  <c r="J6" i="3" l="1"/>
  <c r="I12" i="3"/>
  <c r="J8" i="3" l="1"/>
  <c r="J9" i="3"/>
  <c r="J10" i="3" l="1"/>
  <c r="J14" i="3" s="1"/>
  <c r="J12" i="3" l="1"/>
  <c r="K6" i="3"/>
  <c r="K9" i="3" l="1"/>
  <c r="K8" i="3"/>
  <c r="K10" i="3" l="1"/>
  <c r="K14" i="3" s="1"/>
  <c r="K12" i="3"/>
  <c r="L6" i="3"/>
  <c r="L9" i="3" l="1"/>
  <c r="L8" i="3"/>
  <c r="L10" i="3" s="1"/>
  <c r="L14" i="3" s="1"/>
  <c r="L12" i="3" l="1"/>
  <c r="M6" i="3"/>
  <c r="M9" i="3" l="1"/>
  <c r="M8" i="3"/>
  <c r="M10" i="3" s="1"/>
  <c r="M14" i="3" s="1"/>
  <c r="M12" i="3" l="1"/>
  <c r="N6" i="3"/>
  <c r="N9" i="3" l="1"/>
  <c r="N8" i="3"/>
  <c r="N10" i="3" l="1"/>
  <c r="N14" i="3" s="1"/>
  <c r="O6" i="3" l="1"/>
  <c r="N12" i="3"/>
  <c r="O8" i="3"/>
  <c r="O9" i="3"/>
  <c r="O10" i="3" l="1"/>
  <c r="O14" i="3" s="1"/>
  <c r="O12" i="3" l="1"/>
  <c r="P6" i="3"/>
  <c r="P8" i="3" l="1"/>
  <c r="P9" i="3"/>
  <c r="P10" i="3" l="1"/>
  <c r="P14" i="3" s="1"/>
  <c r="P12" i="3" l="1"/>
  <c r="Q6" i="3"/>
  <c r="Q8" i="3" l="1"/>
  <c r="Q9" i="3"/>
  <c r="Q10" i="3" l="1"/>
  <c r="Q14" i="3" s="1"/>
  <c r="R6" i="3" l="1"/>
  <c r="Q12" i="3"/>
  <c r="R8" i="3" l="1"/>
  <c r="R9" i="3"/>
  <c r="R10" i="3" l="1"/>
  <c r="R14" i="3" s="1"/>
  <c r="S6" i="3" l="1"/>
  <c r="R12" i="3"/>
  <c r="S8" i="3" l="1"/>
  <c r="S9" i="3"/>
  <c r="S10" i="3" l="1"/>
  <c r="S14" i="3" s="1"/>
  <c r="T6" i="3" l="1"/>
  <c r="S12" i="3"/>
  <c r="T8" i="3" l="1"/>
  <c r="T9" i="3"/>
  <c r="T10" i="3" l="1"/>
  <c r="T14" i="3" s="1"/>
  <c r="T12" i="3" l="1"/>
  <c r="U6" i="3"/>
  <c r="U9" i="3" l="1"/>
  <c r="U8" i="3"/>
  <c r="U10" i="3" s="1"/>
  <c r="U14" i="3" s="1"/>
  <c r="U12" i="3" l="1"/>
  <c r="V6" i="3"/>
  <c r="V9" i="3" l="1"/>
  <c r="V8" i="3"/>
  <c r="V10" i="3" l="1"/>
  <c r="V14" i="3" s="1"/>
  <c r="W6" i="3"/>
  <c r="V12" i="3" l="1"/>
  <c r="W9" i="3"/>
  <c r="W8" i="3"/>
  <c r="W10" i="3" s="1"/>
  <c r="W14" i="3" s="1"/>
  <c r="W12" i="3" l="1"/>
  <c r="X6" i="3"/>
  <c r="X9" i="3" l="1"/>
  <c r="X8" i="3"/>
  <c r="X10" i="3" l="1"/>
  <c r="X14" i="3" s="1"/>
  <c r="X12" i="3"/>
  <c r="Y6" i="3"/>
  <c r="Y8" i="3" l="1"/>
  <c r="Y9" i="3"/>
  <c r="Y10" i="3" l="1"/>
  <c r="Y14" i="3" s="1"/>
  <c r="Y12" i="3" l="1"/>
  <c r="Z6" i="3"/>
  <c r="Z8" i="3" l="1"/>
  <c r="Z9" i="3"/>
  <c r="Z10" i="3" l="1"/>
  <c r="Z14" i="3" s="1"/>
  <c r="AA6" i="3" l="1"/>
  <c r="Z12" i="3"/>
  <c r="AA8" i="3" l="1"/>
  <c r="AA9" i="3"/>
  <c r="AA10" i="3" l="1"/>
  <c r="AA14" i="3" s="1"/>
  <c r="AB6" i="3" l="1"/>
  <c r="AA12" i="3"/>
  <c r="AB8" i="3" l="1"/>
  <c r="AB9" i="3"/>
  <c r="AB10" i="3" l="1"/>
  <c r="AB14" i="3" s="1"/>
  <c r="AC6" i="3" l="1"/>
  <c r="AB12" i="3"/>
  <c r="AC8" i="3" l="1"/>
  <c r="AC9" i="3"/>
  <c r="AC10" i="3" l="1"/>
  <c r="AC14" i="3" s="1"/>
  <c r="AD6" i="3" l="1"/>
  <c r="AC12" i="3"/>
  <c r="AD8" i="3" l="1"/>
  <c r="AD9" i="3"/>
  <c r="AD10" i="3" l="1"/>
  <c r="AD14" i="3" s="1"/>
  <c r="AD12" i="3" l="1"/>
  <c r="AE6" i="3"/>
  <c r="AE9" i="3" l="1"/>
  <c r="AE8" i="3"/>
  <c r="AE10" i="3" l="1"/>
  <c r="AE14" i="3" s="1"/>
  <c r="AE12" i="3"/>
  <c r="AF6" i="3"/>
  <c r="AF9" i="3" l="1"/>
  <c r="AF8" i="3"/>
  <c r="AF10" i="3" l="1"/>
  <c r="AF14" i="3" s="1"/>
  <c r="AF12" i="3"/>
  <c r="AG6" i="3"/>
  <c r="AG9" i="3" l="1"/>
  <c r="AG8" i="3"/>
  <c r="AG10" i="3" s="1"/>
  <c r="AG14" i="3" s="1"/>
  <c r="AH6" i="3" l="1"/>
  <c r="AG12" i="3"/>
  <c r="AH9" i="3" l="1"/>
  <c r="AH8" i="3"/>
  <c r="AH10" i="3" l="1"/>
  <c r="AH14" i="3" s="1"/>
  <c r="AI6" i="3"/>
  <c r="AH12" i="3"/>
  <c r="AI8" i="3" l="1"/>
  <c r="AI9" i="3"/>
  <c r="AI10" i="3" l="1"/>
  <c r="AI14" i="3" s="1"/>
  <c r="AJ6" i="3" l="1"/>
  <c r="AI12" i="3"/>
  <c r="AJ8" i="3" l="1"/>
  <c r="AJ9" i="3"/>
  <c r="AJ10" i="3" l="1"/>
  <c r="AJ14" i="3" s="1"/>
  <c r="AJ12" i="3" l="1"/>
  <c r="AK6" i="3"/>
  <c r="AK8" i="3" l="1"/>
  <c r="AK9" i="3"/>
  <c r="AK10" i="3" l="1"/>
  <c r="AK14" i="3" s="1"/>
  <c r="AL6" i="3" l="1"/>
  <c r="AK12" i="3"/>
  <c r="AL8" i="3" l="1"/>
  <c r="AL9" i="3"/>
  <c r="AL10" i="3" l="1"/>
  <c r="E6" i="4" l="1"/>
  <c r="E8" i="4" s="1"/>
  <c r="AL14" i="3"/>
  <c r="D8" i="4" s="1"/>
  <c r="D6" i="4"/>
  <c r="E9" i="4" l="1"/>
  <c r="E10" i="4" s="1"/>
  <c r="E16" i="4"/>
  <c r="AL12" i="3"/>
  <c r="D7" i="4"/>
  <c r="D9" i="4" s="1"/>
  <c r="D10" i="4" l="1"/>
  <c r="D16" i="4"/>
</calcChain>
</file>

<file path=xl/sharedStrings.xml><?xml version="1.0" encoding="utf-8"?>
<sst xmlns="http://schemas.openxmlformats.org/spreadsheetml/2006/main" count="138" uniqueCount="137">
  <si>
    <t>GET LUCKY GOLF  ×  ERNIE ELS</t>
  </si>
  <si>
    <t>Valuation bridge — how a 5% founding stake gets to the exit vision</t>
  </si>
  <si>
    <t>WHAT THIS MODEL DOES</t>
  </si>
  <si>
    <t>It shows the subscriber growth, recurring revenue, margin and exit-multiple assumptions that have to hold for those</t>
  </si>
  <si>
    <t>numbers to be real — so the curve looks earned, not asserted. Every figure you can change is colour-coded.</t>
  </si>
  <si>
    <t>HOW TO READ THE COLOURS (standard financial-model convention)</t>
  </si>
  <si>
    <t xml:space="preserve">   BLUE text      = an input / assumption you can change. These drive everything else.</t>
  </si>
  <si>
    <t xml:space="preserve">   BLACK text     = a formula. Do not type over these; they recalculate.</t>
  </si>
  <si>
    <t xml:space="preserve">   GREEN text     = a figure pulled from another tab in this workbook.</t>
  </si>
  <si>
    <t>THE FOUR TABS</t>
  </si>
  <si>
    <t xml:space="preserve">   2. Build (Monthly)— 36-month subscriber &amp; revenue build, SA today through the 3-year plan.</t>
  </si>
  <si>
    <t>Ernie founding equity stake</t>
  </si>
  <si>
    <t>Subscription price (USD / month)</t>
  </si>
  <si>
    <t>Hole-in-one prize (USD)</t>
  </si>
  <si>
    <t>ZAR per USD</t>
  </si>
  <si>
    <t>FX assumption — confirm rate to use</t>
  </si>
  <si>
    <t>Paying subscribers at month 0</t>
  </si>
  <si>
    <t>Monthly subscriber growth — Year 1</t>
  </si>
  <si>
    <t>Monthly subscriber growth — Year 2</t>
  </si>
  <si>
    <t>Tapers as base grows; SA + first intl</t>
  </si>
  <si>
    <t>Monthly subscriber growth — Year 3</t>
  </si>
  <si>
    <t>Global markets open (UK/US/ME/Asia)</t>
  </si>
  <si>
    <t>Monthly churn rate</t>
  </si>
  <si>
    <t>Gross margin</t>
  </si>
  <si>
    <t>On-course marketing (% of revenue)</t>
  </si>
  <si>
    <t>Insured prize risk (% of revenue)</t>
  </si>
  <si>
    <t>Valuation multiple — ARR (today)</t>
  </si>
  <si>
    <t>Valuation multiple — ARR (2028 target)</t>
  </si>
  <si>
    <t>SaaS-style ARR multiple, pre-scale</t>
  </si>
  <si>
    <t>Valuation multiple — ARR (2032 exit)</t>
  </si>
  <si>
    <t>36-MONTH BUILD</t>
  </si>
  <si>
    <t>Subscriber &amp; recurring-revenue build. Growth rate steps by year (see Assumptions).</t>
  </si>
  <si>
    <t>Month</t>
  </si>
  <si>
    <t>Opening subscribers</t>
  </si>
  <si>
    <t>Net growth rate (mo)</t>
  </si>
  <si>
    <t>Gross adds + retained</t>
  </si>
  <si>
    <t>Churned</t>
  </si>
  <si>
    <t>Closing subscribers</t>
  </si>
  <si>
    <t>VALUATION BRIDGE</t>
  </si>
  <si>
    <t>Annual roll-up of the monthly build, then the valuation walk to the pitch milestones.</t>
  </si>
  <si>
    <t>Metric</t>
  </si>
  <si>
    <t>2032 (Exit vision)</t>
  </si>
  <si>
    <t>2032 extends the Yr3 exit ramp</t>
  </si>
  <si>
    <t>Pitch gross margin 78%</t>
  </si>
  <si>
    <t>VALUATION WALK</t>
  </si>
  <si>
    <t>Headline figures from the pitch</t>
  </si>
  <si>
    <t>Sanity check: does the ramp + multiple reach the milestone?</t>
  </si>
  <si>
    <t>No cash in. Name &amp; story for 5%. Here's what that 5% rides to.</t>
  </si>
  <si>
    <t>Today</t>
  </si>
  <si>
    <t>2028 (3-yr plan)</t>
  </si>
  <si>
    <t>From Valuation tab (pitch milestones)</t>
  </si>
  <si>
    <t>Ernie's stake %</t>
  </si>
  <si>
    <t>What the 5% is worth at each milestone</t>
  </si>
  <si>
    <t>Upside on a zero-cash, zero-time stake</t>
  </si>
  <si>
    <t>Multiple on entry value</t>
  </si>
  <si>
    <t>Figures reflect the company's stated valuation milestones from the 2025 raise and 3-year plan. They illustrate the trajectory a 5% holding moves with — not a guarantee of return. Current operating inputs are illustrative until replaced with live traction.</t>
  </si>
  <si>
    <t xml:space="preserve">ASSUMPTIONS  </t>
  </si>
  <si>
    <t>Blue = change me.  Yellow = confirm  Black = calculated.</t>
  </si>
  <si>
    <t xml:space="preserve">   Yellow shading = a key assumption that is based on histroric average. </t>
  </si>
  <si>
    <t>SPONSORSHIP &amp; EXIT TRAJECTORY</t>
  </si>
  <si>
    <t>Long-term subscriber growth (Y4–Y7, monthly)</t>
  </si>
  <si>
    <t>Implied revenue multiple</t>
  </si>
  <si>
    <t>Subscriptions + sponsorship — drives valuation</t>
  </si>
  <si>
    <t xml:space="preserve">   1. Assumptions   — stress test for diffirent circumstances. </t>
  </si>
  <si>
    <t xml:space="preserve">ERNIE'S 5% </t>
  </si>
  <si>
    <t>Current subscribers</t>
  </si>
  <si>
    <t>% of base lost per month</t>
  </si>
  <si>
    <t>The Ernie affect</t>
  </si>
  <si>
    <t>Ops scaling vs subscribers (0=flat, 1=linear)</t>
  </si>
  <si>
    <t>0.65 ≈ service-inclusive SaaS economies of scale</t>
  </si>
  <si>
    <t>5% for name &amp; story, no cash</t>
  </si>
  <si>
    <t>$10/mo unlocks the challenge</t>
  </si>
  <si>
    <t>insured payout per verified ace</t>
  </si>
  <si>
    <t>10% on-course marketing</t>
  </si>
  <si>
    <t xml:space="preserve">   4. Ernie's Stake  — what 5% is worth at each milestone.</t>
  </si>
  <si>
    <t xml:space="preserve">DEAL TERMS </t>
  </si>
  <si>
    <t xml:space="preserve">OPERATING TODAY  </t>
  </si>
  <si>
    <t xml:space="preserve">ECONOMICS  </t>
  </si>
  <si>
    <t xml:space="preserve">VALUATION </t>
  </si>
  <si>
    <t>Non Dilutive</t>
  </si>
  <si>
    <t>Post-money valuation today ($)</t>
  </si>
  <si>
    <t>CAC ($/sub)</t>
  </si>
  <si>
    <t>Base operating cost / month today ($)</t>
  </si>
  <si>
    <t>Pitch valuation 2028 ($)</t>
  </si>
  <si>
    <t>Pitch valuation 2032 ($)</t>
  </si>
  <si>
    <t>Sponsorship revenue today ($/yr)</t>
  </si>
  <si>
    <t>MRR ($)</t>
  </si>
  <si>
    <t>Marketing spend ($)</t>
  </si>
  <si>
    <t>Prize payouts ($)</t>
  </si>
  <si>
    <t>Sponsorship ($)</t>
  </si>
  <si>
    <t>Subscription ARR ($)</t>
  </si>
  <si>
    <t>Sponsorship revenue ($)</t>
  </si>
  <si>
    <t>Total annual revenue ($)</t>
  </si>
  <si>
    <t>Gross profit ($)</t>
  </si>
  <si>
    <t>EBITDA proxy ($)</t>
  </si>
  <si>
    <t>Valuation milestone — pitch ($)</t>
  </si>
  <si>
    <t>Valuation — model-implied ($)</t>
  </si>
  <si>
    <t>Gap (model vs pitch) ($)</t>
  </si>
  <si>
    <t>Company valuation ($)</t>
  </si>
  <si>
    <t>Ernie's equity value ($)</t>
  </si>
  <si>
    <t>Value created for Ernie vs today ($)</t>
  </si>
  <si>
    <t>Memo — model valuation in ZAR</t>
  </si>
  <si>
    <t>Memo — pitch milestone in ZAR</t>
  </si>
  <si>
    <t>Today solved to the $2.16m floor; out-years from Assumptions</t>
  </si>
  <si>
    <t>Memo — Ernie's stake in ZAR</t>
  </si>
  <si>
    <t>This workbook reverse-engineers the headline valuations in the Ernie pitch (R40m today → R96.8m in 2028 → R500m exit; model shown in $ at FX 18.5).</t>
  </si>
  <si>
    <t xml:space="preserve">   3. Valuation      — annual P&amp;L summary + the R40m / R96.8m / R500m bridge ($2.16m / $5.23m / $27m) and Ernie's 5%.</t>
  </si>
  <si>
    <t>Multiple on entry. CAGR: ~34% to 2028 (3 yrs) / ~43% to 2032 (7 yrs)</t>
  </si>
  <si>
    <t>Solved below to hit $2.16m floor</t>
  </si>
  <si>
    <t>Today's valuation floor (pitch R40m)</t>
  </si>
  <si>
    <t>$/sub acquisition target (pitch R225)</t>
  </si>
  <si>
    <t>Today's monthly opex base (pitch R350k/mo)</t>
  </si>
  <si>
    <t>Pitch milestone — 3-yr plan (R96.8m)</t>
  </si>
  <si>
    <t>Pitch exit vision (R500m)</t>
  </si>
  <si>
    <t>Pitch baseline (R3m/yr)</t>
  </si>
  <si>
    <t>Per-round ace probability</t>
  </si>
  <si>
    <t>≈1/12,500 per attempt (amateur odds)</t>
  </si>
  <si>
    <t>Rounds per subscriber per month</t>
  </si>
  <si>
    <t>On-course attempts at the ace</t>
  </si>
  <si>
    <t>To land 2032 model on $27m exit vision</t>
  </si>
  <si>
    <t>Rated as global &amp; profitable</t>
  </si>
  <si>
    <t>WHY 6× REVENUE AT EXIT (2032)</t>
  </si>
  <si>
    <t>Engaged subscriber database</t>
  </si>
  <si>
    <t>Recurring golfers opted into a high-intent niche product are the core asset — a clean, targetable distribution channel for golf brands, media partners and sponsors. The valuation reflects the database itself, not just the topline.</t>
  </si>
  <si>
    <t>Strategic partner optionality</t>
  </si>
  <si>
    <t>At scale, the platform unlocks multiple exit paths: license access to a golf brand (Callaway/TaylorMade), co-brand prize pools with a tour or media rights holder, integrate with a sportsbook, or sell outright to a sports-tech acquirer. Optionality justifies a strategic premium over pure SaaS multiples.</t>
  </si>
  <si>
    <t>Comparable engaged communities</t>
  </si>
  <si>
    <t>Engaged-community subscription businesses (Strava, Peloton, Whoop) have transacted in the 5–10× revenue range at similar scale. 6× sits mid-band — conservative for a niche category leader with strategic upside.</t>
  </si>
  <si>
    <t>Risk to the multiple</t>
  </si>
  <si>
    <t>If sub growth stalls or the engaged-community thesis weakens, the multiple compresses toward pure SaaS (3–4×), which would land 2032 closer to $13–18m (R250–335m) rather than $27m (R500m).</t>
  </si>
  <si>
    <t>24% premium for full (100%) cover</t>
  </si>
  <si>
    <t>Subscribers/ Entries</t>
  </si>
  <si>
    <t>2029 (Yr3 plan)</t>
  </si>
  <si>
    <t>66% to Get Lucky</t>
  </si>
  <si>
    <t>Sum of MRR across months 1–12 (actual 2026 revenue)</t>
  </si>
  <si>
    <t>Sum of monthly sponsorship across 2026</t>
  </si>
  <si>
    <t>GP less scaled opex less insurance premium (24% of revenue, 100% cover). Prize payouts excluded — covered by insurer.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</si>
</sst>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;\(0.0%\);\-"/>
    <numFmt numFmtId="165" formatCode="\$#,##0;&quot;($&quot;#,##0\);\-"/>
    <numFmt numFmtId="166" formatCode="#,##0;\(#,##0\);\-"/>
    <numFmt numFmtId="167" formatCode="0.000%"/>
    <numFmt numFmtId="168" formatCode="0.0\x"/>
    <numFmt numFmtId="169" formatCode="&quot;R &quot;#,##0;\(&quot;R &quot;#,##0\);\-"/>
    <numFmt numFmtId="170" formatCode="0.00%;\(0.00%\);\-"/>
    <numFmt numFmtId="171" formatCode="[$USD]\ #,##0;\([$USD]\ #,##0\);\-"/>
    <numFmt numFmtId="172" formatCode="[$USD]\ #,##0.00"/>
  </numFmts>
  <fonts count="21" x14ac:knownFonts="1">
    <font>
      <sz val="11"/>
      <color theme="1"/>
      <name val="Calibri"/>
      <family val="2"/>
      <charset val="1"/>
    </font>
    <font>
      <b/>
      <sz val="16"/>
      <color rgb="FF1B2A1F"/>
      <name val="Arial"/>
      <family val="2"/>
    </font>
    <font>
      <b/>
      <i/>
      <sz val="11"/>
      <color rgb="FFC9A24B"/>
      <name val="Arial"/>
      <family val="2"/>
    </font>
    <font>
      <b/>
      <sz val="10"/>
      <color rgb="FF1B2A1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i/>
      <sz val="8"/>
      <color rgb="FF666666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sz val="11"/>
      <color rgb="FFFFFFFF"/>
      <name val="Arial"/>
      <family val="2"/>
    </font>
    <font>
      <sz val="8"/>
      <color rgb="FF666666"/>
      <name val="Arial"/>
      <family val="2"/>
    </font>
    <font>
      <sz val="9"/>
      <color rgb="FF666666"/>
      <name val="Calibri"/>
      <family val="2"/>
      <charset val="1"/>
    </font>
    <font>
      <sz val="9"/>
      <color rgb="FF666666"/>
      <name val="Arial"/>
      <family val="2"/>
    </font>
    <font>
      <sz val="10"/>
      <color theme="1"/>
      <name val="Arial"/>
      <family val="2"/>
    </font>
    <font>
      <sz val="11"/>
      <color rgb="FF008000"/>
      <name val="Calibri"/>
      <family val="2"/>
      <charset val="1"/>
    </font>
    <font>
      <b/>
      <sz val="10"/>
      <color rgb="FF008000"/>
      <name val="Arial"/>
      <family val="2"/>
    </font>
    <font>
      <sz val="10"/>
      <color rgb="FF333333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2A1F"/>
        <bgColor rgb="FF003300"/>
      </patternFill>
    </fill>
    <fill>
      <patternFill patternType="solid">
        <fgColor rgb="FF2E4034"/>
        <bgColor rgb="FF1B2A1F"/>
      </patternFill>
    </fill>
    <fill>
      <patternFill patternType="solid">
        <fgColor rgb="FFFFF6D6"/>
        <bgColor rgb="FFF0EFEA"/>
      </patternFill>
    </fill>
    <fill>
      <patternFill patternType="solid">
        <fgColor rgb="FFF0EFEA"/>
        <bgColor rgb="FFFFF6D6"/>
      </patternFill>
    </fill>
    <fill>
      <patternFill patternType="solid">
        <fgColor rgb="FFC9A24B"/>
        <bgColor rgb="FFFF9900"/>
      </patternFill>
    </fill>
    <fill>
      <patternFill patternType="solid">
        <fgColor rgb="FF2E4034"/>
        <bgColor indexed="64"/>
      </patternFill>
    </fill>
    <fill>
      <patternFill patternType="solid">
        <fgColor rgb="FFFFF6D6"/>
        <bgColor indexed="64"/>
      </patternFill>
    </fill>
  </fills>
  <borders count="4">
    <border>
      <left/>
      <right/>
      <top/>
      <bottom/>
      <diagonal/>
    </border>
    <border>
      <left style="thin">
        <color rgb="FFD9D6CC"/>
      </left>
      <right style="thin">
        <color rgb="FFD9D6CC"/>
      </right>
      <top style="thin">
        <color rgb="FFD9D6CC"/>
      </top>
      <bottom style="thin">
        <color rgb="FFD9D6CC"/>
      </bottom>
      <diagonal/>
    </border>
    <border>
      <left style="thin">
        <color rgb="FFD9D6CC"/>
      </left>
      <right style="thin">
        <color rgb="FFD9D6CC"/>
      </right>
      <top/>
      <bottom/>
      <diagonal/>
    </border>
    <border>
      <left style="thin">
        <color rgb="FFD9D6CC"/>
      </left>
      <right style="thin">
        <color rgb="FFD9D6CC"/>
      </right>
      <top style="thin">
        <color rgb="FFD9D6CC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8" fillId="0" borderId="1" xfId="0" applyNumberFormat="1" applyFont="1" applyBorder="1"/>
    <xf numFmtId="165" fontId="8" fillId="0" borderId="1" xfId="0" applyNumberFormat="1" applyFont="1" applyBorder="1"/>
    <xf numFmtId="2" fontId="8" fillId="4" borderId="1" xfId="0" applyNumberFormat="1" applyFont="1" applyFill="1" applyBorder="1"/>
    <xf numFmtId="166" fontId="8" fillId="4" borderId="1" xfId="0" applyNumberFormat="1" applyFont="1" applyFill="1" applyBorder="1"/>
    <xf numFmtId="164" fontId="8" fillId="4" borderId="1" xfId="0" applyNumberFormat="1" applyFont="1" applyFill="1" applyBorder="1"/>
    <xf numFmtId="167" fontId="8" fillId="4" borderId="1" xfId="0" applyNumberFormat="1" applyFont="1" applyFill="1" applyBorder="1"/>
    <xf numFmtId="168" fontId="4" fillId="0" borderId="1" xfId="0" applyNumberFormat="1" applyFont="1" applyBorder="1"/>
    <xf numFmtId="168" fontId="8" fillId="4" borderId="1" xfId="0" applyNumberFormat="1" applyFont="1" applyFill="1" applyBorder="1"/>
    <xf numFmtId="0" fontId="10" fillId="0" borderId="0" xfId="0" applyFont="1"/>
    <xf numFmtId="1" fontId="10" fillId="5" borderId="1" xfId="0" applyNumberFormat="1" applyFont="1" applyFill="1" applyBorder="1" applyAlignment="1">
      <alignment horizontal="center"/>
    </xf>
    <xf numFmtId="166" fontId="4" fillId="0" borderId="1" xfId="0" applyNumberFormat="1" applyFont="1" applyBorder="1"/>
    <xf numFmtId="166" fontId="4" fillId="5" borderId="1" xfId="0" applyNumberFormat="1" applyFont="1" applyFill="1" applyBorder="1"/>
    <xf numFmtId="0" fontId="7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166" fontId="10" fillId="0" borderId="1" xfId="0" applyNumberFormat="1" applyFont="1" applyBorder="1"/>
    <xf numFmtId="0" fontId="9" fillId="0" borderId="0" xfId="0" applyFont="1" applyAlignment="1">
      <alignment vertical="center" wrapText="1"/>
    </xf>
    <xf numFmtId="168" fontId="10" fillId="0" borderId="1" xfId="0" applyNumberFormat="1" applyFont="1" applyBorder="1"/>
    <xf numFmtId="0" fontId="12" fillId="7" borderId="0" xfId="0" applyFont="1" applyFill="1" applyAlignment="1">
      <alignment horizontal="left"/>
    </xf>
    <xf numFmtId="0" fontId="13" fillId="0" borderId="0" xfId="0" applyFont="1"/>
    <xf numFmtId="170" fontId="8" fillId="0" borderId="0" xfId="0" applyNumberFormat="1" applyFont="1"/>
    <xf numFmtId="0" fontId="14" fillId="0" borderId="0" xfId="0" applyFont="1"/>
    <xf numFmtId="0" fontId="15" fillId="0" borderId="0" xfId="0" applyFont="1"/>
    <xf numFmtId="2" fontId="8" fillId="0" borderId="2" xfId="0" applyNumberFormat="1" applyFont="1" applyBorder="1"/>
    <xf numFmtId="166" fontId="4" fillId="0" borderId="3" xfId="0" applyNumberFormat="1" applyFont="1" applyBorder="1"/>
    <xf numFmtId="0" fontId="13" fillId="0" borderId="0" xfId="0" quotePrefix="1" applyFont="1"/>
    <xf numFmtId="164" fontId="17" fillId="0" borderId="0" xfId="0" applyNumberFormat="1" applyFont="1"/>
    <xf numFmtId="168" fontId="18" fillId="0" borderId="1" xfId="0" applyNumberFormat="1" applyFont="1" applyBorder="1"/>
    <xf numFmtId="164" fontId="11" fillId="0" borderId="1" xfId="0" applyNumberFormat="1" applyFont="1" applyBorder="1"/>
    <xf numFmtId="169" fontId="14" fillId="0" borderId="0" xfId="0" applyNumberFormat="1" applyFont="1"/>
    <xf numFmtId="1" fontId="8" fillId="8" borderId="0" xfId="0" applyNumberFormat="1" applyFont="1" applyFill="1"/>
    <xf numFmtId="0" fontId="16" fillId="0" borderId="0" xfId="0" applyFont="1"/>
    <xf numFmtId="171" fontId="8" fillId="0" borderId="1" xfId="0" applyNumberFormat="1" applyFont="1" applyBorder="1"/>
    <xf numFmtId="171" fontId="8" fillId="8" borderId="1" xfId="0" applyNumberFormat="1" applyFont="1" applyFill="1" applyBorder="1"/>
    <xf numFmtId="171" fontId="8" fillId="0" borderId="0" xfId="0" applyNumberFormat="1" applyFont="1"/>
    <xf numFmtId="172" fontId="8" fillId="8" borderId="1" xfId="0" applyNumberFormat="1" applyFont="1" applyFill="1" applyBorder="1"/>
    <xf numFmtId="171" fontId="10" fillId="0" borderId="1" xfId="0" applyNumberFormat="1" applyFont="1" applyBorder="1"/>
    <xf numFmtId="171" fontId="4" fillId="0" borderId="1" xfId="0" applyNumberFormat="1" applyFont="1" applyBorder="1"/>
    <xf numFmtId="171" fontId="18" fillId="4" borderId="1" xfId="0" applyNumberFormat="1" applyFont="1" applyFill="1" applyBorder="1"/>
    <xf numFmtId="171" fontId="16" fillId="0" borderId="0" xfId="0" applyNumberFormat="1" applyFont="1"/>
    <xf numFmtId="171" fontId="11" fillId="0" borderId="1" xfId="0" applyNumberFormat="1" applyFont="1" applyBorder="1"/>
    <xf numFmtId="171" fontId="10" fillId="6" borderId="1" xfId="0" applyNumberFormat="1" applyFont="1" applyFill="1" applyBorder="1"/>
    <xf numFmtId="0" fontId="19" fillId="0" borderId="0" xfId="0" applyFont="1"/>
    <xf numFmtId="0" fontId="20" fillId="0" borderId="0" xfId="0" applyFont="1"/>
    <xf numFmtId="0" fontId="5" fillId="2" borderId="0" xfId="0" applyFont="1" applyFill="1" applyAlignment="1">
      <alignment horizontal="left" vertical="center" indent="1"/>
    </xf>
    <xf numFmtId="0" fontId="6" fillId="0" borderId="0" xfId="0" applyFont="1"/>
    <xf numFmtId="0" fontId="7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wrapText="1" indent="1"/>
    </xf>
    <xf numFmtId="0" fontId="9" fillId="0" borderId="0" xfId="0" quotePrefix="1" applyFont="1" applyAlignment="1">
      <alignment horizontal="left" vertical="center" wrapText="1" inden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F0EFEA"/>
      <rgbColor rgb="FF660066"/>
      <rgbColor rgb="FFFF8080"/>
      <rgbColor rgb="FF0066CC"/>
      <rgbColor rgb="FFD9D6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24B"/>
      <rgbColor rgb="FF003366"/>
      <rgbColor rgb="FF339966"/>
      <rgbColor rgb="FF003300"/>
      <rgbColor rgb="FF1B2A1F"/>
      <rgbColor rgb="FF993300"/>
      <rgbColor rgb="FF993366"/>
      <rgbColor rgb="FF333399"/>
      <rgbColor rgb="FF2E40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155340-9F9B-6D43-A518-BA8D09A6A3D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9178a69-422c-439f-9609-d1c5ca93cb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1"/>
  <sheetViews>
    <sheetView showGridLines="0" zoomScaleNormal="100" workbookViewId="0">
      <selection activeCell="B27" sqref="B27"/>
    </sheetView>
  </sheetViews>
  <sheetFormatPr baseColWidth="10" defaultColWidth="8.6640625" defaultRowHeight="15" x14ac:dyDescent="0.2"/>
  <cols>
    <col min="1" max="1" width="2" customWidth="1"/>
    <col min="2" max="2" width="92" customWidth="1"/>
  </cols>
  <sheetData>
    <row r="2" spans="2:2" ht="20" x14ac:dyDescent="0.2">
      <c r="B2" s="1" t="s">
        <v>0</v>
      </c>
    </row>
    <row r="3" spans="2:2" x14ac:dyDescent="0.2">
      <c r="B3" s="2" t="s">
        <v>1</v>
      </c>
    </row>
    <row r="6" spans="2:2" x14ac:dyDescent="0.2">
      <c r="B6" s="3" t="s">
        <v>2</v>
      </c>
    </row>
    <row r="7" spans="2:2" x14ac:dyDescent="0.2">
      <c r="B7" s="4" t="s">
        <v>105</v>
      </c>
    </row>
    <row r="8" spans="2:2" x14ac:dyDescent="0.2">
      <c r="B8" s="4" t="s">
        <v>3</v>
      </c>
    </row>
    <row r="9" spans="2:2" x14ac:dyDescent="0.2">
      <c r="B9" s="4" t="s">
        <v>4</v>
      </c>
    </row>
    <row r="10" spans="2:2" x14ac:dyDescent="0.2">
      <c r="B10" s="4"/>
    </row>
    <row r="11" spans="2:2" x14ac:dyDescent="0.2">
      <c r="B11" s="3" t="s">
        <v>5</v>
      </c>
    </row>
    <row r="12" spans="2:2" x14ac:dyDescent="0.2">
      <c r="B12" s="4" t="s">
        <v>6</v>
      </c>
    </row>
    <row r="13" spans="2:2" x14ac:dyDescent="0.2">
      <c r="B13" s="4" t="s">
        <v>7</v>
      </c>
    </row>
    <row r="14" spans="2:2" x14ac:dyDescent="0.2">
      <c r="B14" s="4" t="s">
        <v>8</v>
      </c>
    </row>
    <row r="15" spans="2:2" x14ac:dyDescent="0.2">
      <c r="B15" s="4" t="s">
        <v>58</v>
      </c>
    </row>
    <row r="16" spans="2:2" x14ac:dyDescent="0.2">
      <c r="B16" s="4"/>
    </row>
    <row r="17" spans="2:2" x14ac:dyDescent="0.2">
      <c r="B17" s="3" t="s">
        <v>9</v>
      </c>
    </row>
    <row r="18" spans="2:2" x14ac:dyDescent="0.2">
      <c r="B18" s="4" t="s">
        <v>63</v>
      </c>
    </row>
    <row r="19" spans="2:2" x14ac:dyDescent="0.2">
      <c r="B19" s="4" t="s">
        <v>10</v>
      </c>
    </row>
    <row r="20" spans="2:2" x14ac:dyDescent="0.2">
      <c r="B20" s="4" t="s">
        <v>106</v>
      </c>
    </row>
    <row r="21" spans="2:2" x14ac:dyDescent="0.2">
      <c r="B21" s="4" t="s">
        <v>74</v>
      </c>
    </row>
    <row r="22" spans="2:2" x14ac:dyDescent="0.2">
      <c r="B22" s="4"/>
    </row>
    <row r="23" spans="2:2" x14ac:dyDescent="0.2">
      <c r="B23" s="3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36"/>
  <sheetViews>
    <sheetView showGridLines="0" topLeftCell="A18" zoomScale="143" zoomScaleNormal="100" workbookViewId="0">
      <selection activeCell="D22" sqref="D22:F22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5" width="16" customWidth="1"/>
    <col min="6" max="6" width="40" customWidth="1"/>
  </cols>
  <sheetData>
    <row r="2" spans="2:6" ht="30" customHeight="1" x14ac:dyDescent="0.2">
      <c r="B2" s="48" t="s">
        <v>56</v>
      </c>
      <c r="C2" s="48"/>
      <c r="D2" s="48"/>
      <c r="E2" s="48"/>
      <c r="F2" s="48"/>
    </row>
    <row r="3" spans="2:6" x14ac:dyDescent="0.2">
      <c r="B3" s="49" t="s">
        <v>57</v>
      </c>
      <c r="C3" s="49"/>
      <c r="D3" s="49"/>
      <c r="E3" s="49"/>
      <c r="F3" s="49"/>
    </row>
    <row r="5" spans="2:6" ht="19.5" customHeight="1" x14ac:dyDescent="0.2">
      <c r="B5" s="50" t="s">
        <v>75</v>
      </c>
      <c r="C5" s="50"/>
      <c r="D5" s="50"/>
      <c r="E5" s="50"/>
      <c r="F5" s="50"/>
    </row>
    <row r="6" spans="2:6" ht="15" customHeight="1" x14ac:dyDescent="0.2">
      <c r="B6" s="4" t="s">
        <v>11</v>
      </c>
      <c r="C6" s="5">
        <v>0.05</v>
      </c>
      <c r="D6" s="51" t="s">
        <v>70</v>
      </c>
      <c r="E6" s="51"/>
      <c r="F6" s="51"/>
    </row>
    <row r="7" spans="2:6" ht="15" customHeight="1" x14ac:dyDescent="0.2">
      <c r="B7" s="4" t="s">
        <v>80</v>
      </c>
      <c r="C7" s="36">
        <f>40000000/Assumptions!$C$10</f>
        <v>2162162.1621621624</v>
      </c>
      <c r="D7" s="52" t="s">
        <v>109</v>
      </c>
      <c r="E7" s="51"/>
      <c r="F7" s="51"/>
    </row>
    <row r="8" spans="2:6" ht="15" customHeight="1" x14ac:dyDescent="0.2">
      <c r="B8" s="4" t="s">
        <v>12</v>
      </c>
      <c r="C8" s="6">
        <v>10</v>
      </c>
      <c r="D8" s="51" t="s">
        <v>71</v>
      </c>
      <c r="E8" s="51"/>
      <c r="F8" s="51"/>
    </row>
    <row r="9" spans="2:6" ht="15" customHeight="1" x14ac:dyDescent="0.2">
      <c r="B9" s="4" t="s">
        <v>13</v>
      </c>
      <c r="C9" s="6">
        <v>10000</v>
      </c>
      <c r="D9" s="51" t="s">
        <v>72</v>
      </c>
      <c r="E9" s="51"/>
      <c r="F9" s="51"/>
    </row>
    <row r="10" spans="2:6" ht="15" customHeight="1" x14ac:dyDescent="0.2">
      <c r="B10" s="4" t="s">
        <v>14</v>
      </c>
      <c r="C10" s="7">
        <v>18.5</v>
      </c>
      <c r="D10" s="51" t="s">
        <v>15</v>
      </c>
      <c r="E10" s="51"/>
      <c r="F10" s="51"/>
    </row>
    <row r="12" spans="2:6" ht="19.5" customHeight="1" x14ac:dyDescent="0.2">
      <c r="B12" s="50" t="s">
        <v>76</v>
      </c>
      <c r="C12" s="50"/>
      <c r="D12" s="50"/>
      <c r="E12" s="50"/>
      <c r="F12" s="50"/>
    </row>
    <row r="13" spans="2:6" ht="15" customHeight="1" x14ac:dyDescent="0.2">
      <c r="B13" s="4" t="s">
        <v>16</v>
      </c>
      <c r="C13" s="8">
        <v>2000</v>
      </c>
      <c r="D13" s="51" t="s">
        <v>65</v>
      </c>
      <c r="E13" s="51"/>
      <c r="F13" s="51"/>
    </row>
    <row r="14" spans="2:6" ht="15" customHeight="1" x14ac:dyDescent="0.2">
      <c r="B14" s="4" t="s">
        <v>17</v>
      </c>
      <c r="C14" s="9">
        <v>0.105</v>
      </c>
      <c r="D14" s="51" t="s">
        <v>67</v>
      </c>
      <c r="E14" s="51"/>
      <c r="F14" s="51"/>
    </row>
    <row r="15" spans="2:6" ht="15" customHeight="1" x14ac:dyDescent="0.2">
      <c r="B15" s="4" t="s">
        <v>18</v>
      </c>
      <c r="C15" s="9">
        <v>0.08</v>
      </c>
      <c r="D15" s="51" t="s">
        <v>19</v>
      </c>
      <c r="E15" s="51"/>
      <c r="F15" s="51"/>
    </row>
    <row r="16" spans="2:6" ht="15" customHeight="1" x14ac:dyDescent="0.2">
      <c r="B16" s="4" t="s">
        <v>20</v>
      </c>
      <c r="C16" s="9">
        <v>7.0000000000000007E-2</v>
      </c>
      <c r="D16" s="51" t="s">
        <v>21</v>
      </c>
      <c r="E16" s="51"/>
      <c r="F16" s="51"/>
    </row>
    <row r="17" spans="2:6" ht="15" customHeight="1" x14ac:dyDescent="0.2">
      <c r="B17" s="4" t="s">
        <v>22</v>
      </c>
      <c r="C17" s="9">
        <v>0.04</v>
      </c>
      <c r="D17" s="51" t="s">
        <v>66</v>
      </c>
      <c r="E17" s="51"/>
      <c r="F17" s="51"/>
    </row>
    <row r="18" spans="2:6" ht="15" customHeight="1" x14ac:dyDescent="0.2">
      <c r="B18" s="4" t="s">
        <v>81</v>
      </c>
      <c r="C18" s="39">
        <v>12</v>
      </c>
      <c r="D18" s="52" t="s">
        <v>110</v>
      </c>
      <c r="E18" s="51"/>
      <c r="F18" s="51"/>
    </row>
    <row r="20" spans="2:6" ht="19.5" customHeight="1" x14ac:dyDescent="0.2">
      <c r="B20" s="50" t="s">
        <v>77</v>
      </c>
      <c r="C20" s="50"/>
      <c r="D20" s="50"/>
      <c r="E20" s="50"/>
      <c r="F20" s="50"/>
    </row>
    <row r="21" spans="2:6" ht="15" customHeight="1" x14ac:dyDescent="0.2">
      <c r="B21" s="4" t="s">
        <v>23</v>
      </c>
      <c r="C21" s="5">
        <v>0.66</v>
      </c>
      <c r="D21" s="51" t="s">
        <v>133</v>
      </c>
      <c r="E21" s="51"/>
      <c r="F21" s="51"/>
    </row>
    <row r="22" spans="2:6" ht="15" customHeight="1" x14ac:dyDescent="0.2">
      <c r="B22" s="4" t="s">
        <v>24</v>
      </c>
      <c r="C22" s="5">
        <v>0.1</v>
      </c>
      <c r="D22" s="51" t="s">
        <v>73</v>
      </c>
      <c r="E22" s="51"/>
      <c r="F22" s="51"/>
    </row>
    <row r="23" spans="2:6" ht="15" customHeight="1" x14ac:dyDescent="0.2">
      <c r="B23" s="4" t="s">
        <v>25</v>
      </c>
      <c r="C23" s="5">
        <v>0.24</v>
      </c>
      <c r="D23" s="51" t="s">
        <v>130</v>
      </c>
      <c r="E23" s="51"/>
      <c r="F23" s="51"/>
    </row>
    <row r="24" spans="2:6" ht="15" customHeight="1" x14ac:dyDescent="0.2">
      <c r="B24" s="4" t="s">
        <v>115</v>
      </c>
      <c r="C24" s="10">
        <v>8.0000000000000007E-5</v>
      </c>
      <c r="D24" s="51" t="s">
        <v>116</v>
      </c>
      <c r="E24" s="51"/>
      <c r="F24" s="51"/>
    </row>
    <row r="25" spans="2:6" ht="15" customHeight="1" x14ac:dyDescent="0.2">
      <c r="B25" s="4" t="s">
        <v>82</v>
      </c>
      <c r="C25" s="37">
        <f>350000/Assumptions!$C$10</f>
        <v>18918.91891891892</v>
      </c>
      <c r="D25" s="52" t="s">
        <v>111</v>
      </c>
      <c r="E25" s="51"/>
      <c r="F25" s="51"/>
    </row>
    <row r="26" spans="2:6" x14ac:dyDescent="0.2">
      <c r="B26" s="4" t="s">
        <v>68</v>
      </c>
      <c r="C26" s="27">
        <v>0.65</v>
      </c>
      <c r="D26" s="23" t="s">
        <v>69</v>
      </c>
    </row>
    <row r="27" spans="2:6" ht="19.5" customHeight="1" x14ac:dyDescent="0.2">
      <c r="B27" s="50" t="s">
        <v>78</v>
      </c>
      <c r="C27" s="50"/>
      <c r="D27" s="50"/>
      <c r="E27" s="50"/>
      <c r="F27" s="50"/>
    </row>
    <row r="28" spans="2:6" ht="15" customHeight="1" x14ac:dyDescent="0.2">
      <c r="B28" s="4" t="s">
        <v>26</v>
      </c>
      <c r="C28" s="11">
        <v>0</v>
      </c>
      <c r="D28" s="51" t="s">
        <v>108</v>
      </c>
      <c r="E28" s="51"/>
      <c r="F28" s="51"/>
    </row>
    <row r="29" spans="2:6" ht="15" customHeight="1" x14ac:dyDescent="0.2">
      <c r="B29" s="4" t="s">
        <v>27</v>
      </c>
      <c r="C29" s="12">
        <v>2.7</v>
      </c>
      <c r="D29" s="51" t="s">
        <v>28</v>
      </c>
      <c r="E29" s="51"/>
      <c r="F29" s="51"/>
    </row>
    <row r="30" spans="2:6" ht="15" customHeight="1" x14ac:dyDescent="0.2">
      <c r="B30" s="4" t="s">
        <v>29</v>
      </c>
      <c r="C30" s="12">
        <v>6</v>
      </c>
      <c r="D30" s="51" t="s">
        <v>120</v>
      </c>
      <c r="E30" s="51"/>
      <c r="F30" s="51"/>
    </row>
    <row r="31" spans="2:6" ht="15" customHeight="1" x14ac:dyDescent="0.2">
      <c r="B31" s="4" t="s">
        <v>83</v>
      </c>
      <c r="C31" s="36">
        <f>96800000/Assumptions!$C$10</f>
        <v>5232432.4324324327</v>
      </c>
      <c r="D31" s="52" t="s">
        <v>112</v>
      </c>
      <c r="E31" s="51"/>
      <c r="F31" s="51"/>
    </row>
    <row r="32" spans="2:6" ht="15" customHeight="1" x14ac:dyDescent="0.2">
      <c r="B32" s="4" t="s">
        <v>84</v>
      </c>
      <c r="C32" s="36">
        <f>500000000/Assumptions!$C$10</f>
        <v>27027027.027027026</v>
      </c>
      <c r="D32" s="52" t="s">
        <v>113</v>
      </c>
      <c r="E32" s="51"/>
      <c r="F32" s="51"/>
    </row>
    <row r="33" spans="2:4" x14ac:dyDescent="0.2">
      <c r="B33" s="22" t="s">
        <v>59</v>
      </c>
    </row>
    <row r="34" spans="2:4" x14ac:dyDescent="0.2">
      <c r="B34" s="4" t="s">
        <v>85</v>
      </c>
      <c r="C34" s="38">
        <f>3000000/Assumptions!$C$10</f>
        <v>162162.16216216216</v>
      </c>
      <c r="D34" s="29" t="s">
        <v>114</v>
      </c>
    </row>
    <row r="35" spans="2:4" x14ac:dyDescent="0.2">
      <c r="B35" s="4" t="s">
        <v>60</v>
      </c>
      <c r="C35" s="24">
        <v>1.7999999999999999E-2</v>
      </c>
      <c r="D35" s="23" t="s">
        <v>119</v>
      </c>
    </row>
    <row r="36" spans="2:4" x14ac:dyDescent="0.2">
      <c r="B36" s="4" t="s">
        <v>117</v>
      </c>
      <c r="C36" s="34">
        <v>4</v>
      </c>
      <c r="D36" s="23" t="s">
        <v>118</v>
      </c>
    </row>
  </sheetData>
  <mergeCells count="27">
    <mergeCell ref="D31:F31"/>
    <mergeCell ref="D32:F32"/>
    <mergeCell ref="D25:F25"/>
    <mergeCell ref="B27:F27"/>
    <mergeCell ref="D28:F28"/>
    <mergeCell ref="D29:F29"/>
    <mergeCell ref="D30:F30"/>
    <mergeCell ref="B20:F20"/>
    <mergeCell ref="D21:F21"/>
    <mergeCell ref="D22:F22"/>
    <mergeCell ref="D23:F23"/>
    <mergeCell ref="D24:F24"/>
    <mergeCell ref="D14:F14"/>
    <mergeCell ref="D15:F15"/>
    <mergeCell ref="D16:F16"/>
    <mergeCell ref="D17:F17"/>
    <mergeCell ref="D18:F18"/>
    <mergeCell ref="D8:F8"/>
    <mergeCell ref="D9:F9"/>
    <mergeCell ref="D10:F10"/>
    <mergeCell ref="B12:F12"/>
    <mergeCell ref="D13:F13"/>
    <mergeCell ref="B2:F2"/>
    <mergeCell ref="B3:F3"/>
    <mergeCell ref="B5:F5"/>
    <mergeCell ref="D6:F6"/>
    <mergeCell ref="D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L14"/>
  <sheetViews>
    <sheetView showGridLines="0" zoomScaleNormal="100" workbookViewId="0">
      <selection activeCell="A17" sqref="A17:XFD17"/>
    </sheetView>
  </sheetViews>
  <sheetFormatPr baseColWidth="10" defaultColWidth="8.6640625" defaultRowHeight="15" x14ac:dyDescent="0.2"/>
  <cols>
    <col min="1" max="1" width="2" customWidth="1"/>
    <col min="2" max="2" width="30" customWidth="1"/>
    <col min="3" max="38" width="11" customWidth="1"/>
  </cols>
  <sheetData>
    <row r="2" spans="2:38" ht="27.75" customHeight="1" x14ac:dyDescent="0.2">
      <c r="B2" s="48" t="s">
        <v>30</v>
      </c>
      <c r="C2" s="48"/>
      <c r="D2" s="48"/>
      <c r="E2" s="48"/>
    </row>
    <row r="3" spans="2:38" x14ac:dyDescent="0.2">
      <c r="B3" s="49" t="s">
        <v>31</v>
      </c>
      <c r="C3" s="49"/>
      <c r="D3" s="49"/>
      <c r="E3" s="49"/>
      <c r="F3" s="49"/>
      <c r="G3" s="49"/>
      <c r="H3" s="49"/>
    </row>
    <row r="5" spans="2:38" x14ac:dyDescent="0.2">
      <c r="B5" s="13" t="s">
        <v>32</v>
      </c>
      <c r="C5" s="14">
        <v>1</v>
      </c>
      <c r="D5" s="14">
        <v>2</v>
      </c>
      <c r="E5" s="14">
        <v>3</v>
      </c>
      <c r="F5" s="14">
        <v>4</v>
      </c>
      <c r="G5" s="14">
        <v>5</v>
      </c>
      <c r="H5" s="14">
        <v>6</v>
      </c>
      <c r="I5" s="14">
        <v>7</v>
      </c>
      <c r="J5" s="14">
        <v>8</v>
      </c>
      <c r="K5" s="14">
        <v>9</v>
      </c>
      <c r="L5" s="14">
        <v>10</v>
      </c>
      <c r="M5" s="14">
        <v>11</v>
      </c>
      <c r="N5" s="14">
        <v>12</v>
      </c>
      <c r="O5" s="14">
        <v>13</v>
      </c>
      <c r="P5" s="14">
        <v>14</v>
      </c>
      <c r="Q5" s="14">
        <v>15</v>
      </c>
      <c r="R5" s="14">
        <v>16</v>
      </c>
      <c r="S5" s="14">
        <v>17</v>
      </c>
      <c r="T5" s="14">
        <v>18</v>
      </c>
      <c r="U5" s="14">
        <v>19</v>
      </c>
      <c r="V5" s="14">
        <v>20</v>
      </c>
      <c r="W5" s="14">
        <v>21</v>
      </c>
      <c r="X5" s="14">
        <v>22</v>
      </c>
      <c r="Y5" s="14">
        <v>23</v>
      </c>
      <c r="Z5" s="14">
        <v>24</v>
      </c>
      <c r="AA5" s="14">
        <v>25</v>
      </c>
      <c r="AB5" s="14">
        <v>26</v>
      </c>
      <c r="AC5" s="14">
        <v>27</v>
      </c>
      <c r="AD5" s="14">
        <v>28</v>
      </c>
      <c r="AE5" s="14">
        <v>29</v>
      </c>
      <c r="AF5" s="14">
        <v>30</v>
      </c>
      <c r="AG5" s="14">
        <v>31</v>
      </c>
      <c r="AH5" s="14">
        <v>32</v>
      </c>
      <c r="AI5" s="14">
        <v>33</v>
      </c>
      <c r="AJ5" s="14">
        <v>34</v>
      </c>
      <c r="AK5" s="14">
        <v>35</v>
      </c>
      <c r="AL5" s="14">
        <v>36</v>
      </c>
    </row>
    <row r="6" spans="2:38" x14ac:dyDescent="0.2">
      <c r="B6" s="4" t="s">
        <v>33</v>
      </c>
      <c r="C6" s="15">
        <f>Assumptions!$C$13</f>
        <v>2000</v>
      </c>
      <c r="D6" s="15">
        <f t="shared" ref="D6:AL6" si="0">C10</f>
        <v>2130</v>
      </c>
      <c r="E6" s="15">
        <f t="shared" si="0"/>
        <v>2268.4500000000003</v>
      </c>
      <c r="F6" s="15">
        <f t="shared" si="0"/>
        <v>2415.8992500000004</v>
      </c>
      <c r="G6" s="15">
        <f t="shared" si="0"/>
        <v>2572.9327012500007</v>
      </c>
      <c r="H6" s="15">
        <f t="shared" si="0"/>
        <v>2740.173326831251</v>
      </c>
      <c r="I6" s="15">
        <f t="shared" si="0"/>
        <v>2918.2845930752819</v>
      </c>
      <c r="J6" s="15">
        <f t="shared" si="0"/>
        <v>3107.9730916251751</v>
      </c>
      <c r="K6" s="15">
        <f t="shared" si="0"/>
        <v>3309.9913425808118</v>
      </c>
      <c r="L6" s="15">
        <f t="shared" si="0"/>
        <v>3525.1407798485643</v>
      </c>
      <c r="M6" s="15">
        <f t="shared" si="0"/>
        <v>3754.274930538721</v>
      </c>
      <c r="N6" s="15">
        <f t="shared" si="0"/>
        <v>3998.3028010237381</v>
      </c>
      <c r="O6" s="15">
        <f t="shared" si="0"/>
        <v>4258.1924830902808</v>
      </c>
      <c r="P6" s="15">
        <f t="shared" si="0"/>
        <v>4428.5201824138921</v>
      </c>
      <c r="Q6" s="15">
        <f t="shared" si="0"/>
        <v>4605.6609897104481</v>
      </c>
      <c r="R6" s="15">
        <f t="shared" si="0"/>
        <v>4789.8874292988667</v>
      </c>
      <c r="S6" s="15">
        <f t="shared" si="0"/>
        <v>4981.4829264708214</v>
      </c>
      <c r="T6" s="15">
        <f t="shared" si="0"/>
        <v>5180.7422435296548</v>
      </c>
      <c r="U6" s="15">
        <f t="shared" si="0"/>
        <v>5387.9719332708419</v>
      </c>
      <c r="V6" s="15">
        <f t="shared" si="0"/>
        <v>5603.4908106016755</v>
      </c>
      <c r="W6" s="15">
        <f t="shared" si="0"/>
        <v>5827.6304430257433</v>
      </c>
      <c r="X6" s="15">
        <f t="shared" si="0"/>
        <v>6060.7356607467736</v>
      </c>
      <c r="Y6" s="15">
        <f t="shared" si="0"/>
        <v>6303.1650871766451</v>
      </c>
      <c r="Z6" s="15">
        <f t="shared" si="0"/>
        <v>6555.2916906637111</v>
      </c>
      <c r="AA6" s="15">
        <f t="shared" si="0"/>
        <v>6817.5033582902597</v>
      </c>
      <c r="AB6" s="15">
        <f t="shared" si="0"/>
        <v>7022.0284590389674</v>
      </c>
      <c r="AC6" s="15">
        <f t="shared" si="0"/>
        <v>7232.6893128101374</v>
      </c>
      <c r="AD6" s="15">
        <f t="shared" si="0"/>
        <v>7449.6699921944419</v>
      </c>
      <c r="AE6" s="15">
        <f t="shared" si="0"/>
        <v>7673.1600919602761</v>
      </c>
      <c r="AF6" s="15">
        <f t="shared" si="0"/>
        <v>7903.3548947190857</v>
      </c>
      <c r="AG6" s="15">
        <f t="shared" si="0"/>
        <v>8140.4555415606592</v>
      </c>
      <c r="AH6" s="15">
        <f t="shared" si="0"/>
        <v>8384.6692078074793</v>
      </c>
      <c r="AI6" s="15">
        <f t="shared" si="0"/>
        <v>8636.2092840417044</v>
      </c>
      <c r="AJ6" s="15">
        <f t="shared" si="0"/>
        <v>8895.2955625629565</v>
      </c>
      <c r="AK6" s="15">
        <f t="shared" si="0"/>
        <v>9162.1544294398445</v>
      </c>
      <c r="AL6" s="15">
        <f t="shared" si="0"/>
        <v>9437.019062323041</v>
      </c>
    </row>
    <row r="7" spans="2:38" x14ac:dyDescent="0.2">
      <c r="B7" s="4" t="s">
        <v>34</v>
      </c>
      <c r="C7" s="30">
        <f>Assumptions!$C$14</f>
        <v>0.105</v>
      </c>
      <c r="D7" s="30">
        <f>Assumptions!$C$14</f>
        <v>0.105</v>
      </c>
      <c r="E7" s="30">
        <f>Assumptions!$C$14</f>
        <v>0.105</v>
      </c>
      <c r="F7" s="30">
        <f>Assumptions!$C$14</f>
        <v>0.105</v>
      </c>
      <c r="G7" s="30">
        <f>Assumptions!$C$14</f>
        <v>0.105</v>
      </c>
      <c r="H7" s="30">
        <f>Assumptions!$C$14</f>
        <v>0.105</v>
      </c>
      <c r="I7" s="30">
        <f>Assumptions!$C$14</f>
        <v>0.105</v>
      </c>
      <c r="J7" s="30">
        <f>Assumptions!$C$14</f>
        <v>0.105</v>
      </c>
      <c r="K7" s="30">
        <f>Assumptions!$C$14</f>
        <v>0.105</v>
      </c>
      <c r="L7" s="30">
        <f>Assumptions!$C$14</f>
        <v>0.105</v>
      </c>
      <c r="M7" s="30">
        <f>Assumptions!$C$14</f>
        <v>0.105</v>
      </c>
      <c r="N7" s="30">
        <f>Assumptions!$C$14</f>
        <v>0.105</v>
      </c>
      <c r="O7" s="30">
        <f>Assumptions!$C$15</f>
        <v>0.08</v>
      </c>
      <c r="P7" s="30">
        <f>Assumptions!$C$15</f>
        <v>0.08</v>
      </c>
      <c r="Q7" s="30">
        <f>Assumptions!$C$15</f>
        <v>0.08</v>
      </c>
      <c r="R7" s="30">
        <f>Assumptions!$C$15</f>
        <v>0.08</v>
      </c>
      <c r="S7" s="30">
        <f>Assumptions!$C$15</f>
        <v>0.08</v>
      </c>
      <c r="T7" s="30">
        <f>Assumptions!$C$15</f>
        <v>0.08</v>
      </c>
      <c r="U7" s="30">
        <f>Assumptions!$C$15</f>
        <v>0.08</v>
      </c>
      <c r="V7" s="30">
        <f>Assumptions!$C$15</f>
        <v>0.08</v>
      </c>
      <c r="W7" s="30">
        <f>Assumptions!$C$15</f>
        <v>0.08</v>
      </c>
      <c r="X7" s="30">
        <f>Assumptions!$C$15</f>
        <v>0.08</v>
      </c>
      <c r="Y7" s="30">
        <f>Assumptions!$C$15</f>
        <v>0.08</v>
      </c>
      <c r="Z7" s="30">
        <f>Assumptions!$C$15</f>
        <v>0.08</v>
      </c>
      <c r="AA7" s="30">
        <f>Assumptions!$C$16</f>
        <v>7.0000000000000007E-2</v>
      </c>
      <c r="AB7" s="30">
        <f>Assumptions!$C$16</f>
        <v>7.0000000000000007E-2</v>
      </c>
      <c r="AC7" s="30">
        <f>Assumptions!$C$16</f>
        <v>7.0000000000000007E-2</v>
      </c>
      <c r="AD7" s="30">
        <f>Assumptions!$C$16</f>
        <v>7.0000000000000007E-2</v>
      </c>
      <c r="AE7" s="30">
        <f>Assumptions!$C$16</f>
        <v>7.0000000000000007E-2</v>
      </c>
      <c r="AF7" s="30">
        <f>Assumptions!$C$16</f>
        <v>7.0000000000000007E-2</v>
      </c>
      <c r="AG7" s="30">
        <f>Assumptions!$C$16</f>
        <v>7.0000000000000007E-2</v>
      </c>
      <c r="AH7" s="30">
        <f>Assumptions!$C$16</f>
        <v>7.0000000000000007E-2</v>
      </c>
      <c r="AI7" s="30">
        <f>Assumptions!$C$16</f>
        <v>7.0000000000000007E-2</v>
      </c>
      <c r="AJ7" s="30">
        <f>Assumptions!$C$16</f>
        <v>7.0000000000000007E-2</v>
      </c>
      <c r="AK7" s="30">
        <f>Assumptions!$C$16</f>
        <v>7.0000000000000007E-2</v>
      </c>
      <c r="AL7" s="30">
        <f>Assumptions!$C$16</f>
        <v>7.0000000000000007E-2</v>
      </c>
    </row>
    <row r="8" spans="2:38" x14ac:dyDescent="0.2">
      <c r="B8" s="4" t="s">
        <v>35</v>
      </c>
      <c r="C8" s="15">
        <f t="shared" ref="C8:AL8" si="1">C6*(1+C7)</f>
        <v>2210</v>
      </c>
      <c r="D8" s="15">
        <f t="shared" si="1"/>
        <v>2353.65</v>
      </c>
      <c r="E8" s="15">
        <f t="shared" si="1"/>
        <v>2506.6372500000002</v>
      </c>
      <c r="F8" s="15">
        <f t="shared" si="1"/>
        <v>2669.5686712500005</v>
      </c>
      <c r="G8" s="15">
        <f t="shared" si="1"/>
        <v>2843.0906348812509</v>
      </c>
      <c r="H8" s="15">
        <f t="shared" si="1"/>
        <v>3027.8915261485322</v>
      </c>
      <c r="I8" s="15">
        <f t="shared" si="1"/>
        <v>3224.7044753481864</v>
      </c>
      <c r="J8" s="15">
        <f t="shared" si="1"/>
        <v>3434.3102662458186</v>
      </c>
      <c r="K8" s="15">
        <f t="shared" si="1"/>
        <v>3657.5404335517969</v>
      </c>
      <c r="L8" s="15">
        <f t="shared" si="1"/>
        <v>3895.2805617326635</v>
      </c>
      <c r="M8" s="15">
        <f t="shared" si="1"/>
        <v>4148.4737982452871</v>
      </c>
      <c r="N8" s="15">
        <f t="shared" si="1"/>
        <v>4418.1245951312303</v>
      </c>
      <c r="O8" s="15">
        <f t="shared" si="1"/>
        <v>4598.8478817375035</v>
      </c>
      <c r="P8" s="15">
        <f t="shared" si="1"/>
        <v>4782.8017970070041</v>
      </c>
      <c r="Q8" s="15">
        <f t="shared" si="1"/>
        <v>4974.1138688872843</v>
      </c>
      <c r="R8" s="15">
        <f t="shared" si="1"/>
        <v>5173.0784236427762</v>
      </c>
      <c r="S8" s="15">
        <f t="shared" si="1"/>
        <v>5380.0015605884873</v>
      </c>
      <c r="T8" s="15">
        <f t="shared" si="1"/>
        <v>5595.201623012028</v>
      </c>
      <c r="U8" s="15">
        <f t="shared" si="1"/>
        <v>5819.0096879325092</v>
      </c>
      <c r="V8" s="15">
        <f t="shared" si="1"/>
        <v>6051.7700754498101</v>
      </c>
      <c r="W8" s="15">
        <f t="shared" si="1"/>
        <v>6293.8408784678031</v>
      </c>
      <c r="X8" s="15">
        <f t="shared" si="1"/>
        <v>6545.5945136065156</v>
      </c>
      <c r="Y8" s="15">
        <f t="shared" si="1"/>
        <v>6807.418294150777</v>
      </c>
      <c r="Z8" s="15">
        <f t="shared" si="1"/>
        <v>7079.7150259168084</v>
      </c>
      <c r="AA8" s="15">
        <f t="shared" si="1"/>
        <v>7294.728593370578</v>
      </c>
      <c r="AB8" s="15">
        <f t="shared" si="1"/>
        <v>7513.5704511716958</v>
      </c>
      <c r="AC8" s="15">
        <f t="shared" si="1"/>
        <v>7738.9775647068473</v>
      </c>
      <c r="AD8" s="15">
        <f t="shared" si="1"/>
        <v>7971.1468916480535</v>
      </c>
      <c r="AE8" s="15">
        <f t="shared" si="1"/>
        <v>8210.2812983974964</v>
      </c>
      <c r="AF8" s="15">
        <f t="shared" si="1"/>
        <v>8456.5897373494226</v>
      </c>
      <c r="AG8" s="15">
        <f t="shared" si="1"/>
        <v>8710.287429469905</v>
      </c>
      <c r="AH8" s="15">
        <f t="shared" si="1"/>
        <v>8971.5960523540034</v>
      </c>
      <c r="AI8" s="15">
        <f t="shared" si="1"/>
        <v>9240.7439339246248</v>
      </c>
      <c r="AJ8" s="15">
        <f t="shared" si="1"/>
        <v>9517.9662519423637</v>
      </c>
      <c r="AK8" s="15">
        <f t="shared" si="1"/>
        <v>9803.5052395006351</v>
      </c>
      <c r="AL8" s="15">
        <f t="shared" si="1"/>
        <v>10097.610396685655</v>
      </c>
    </row>
    <row r="9" spans="2:38" x14ac:dyDescent="0.2">
      <c r="B9" s="4" t="s">
        <v>36</v>
      </c>
      <c r="C9" s="15">
        <f>-C6*Assumptions!$C$17</f>
        <v>-80</v>
      </c>
      <c r="D9" s="15">
        <f>-D6*Assumptions!$C$17</f>
        <v>-85.2</v>
      </c>
      <c r="E9" s="15">
        <f>-E6*Assumptions!$C$17</f>
        <v>-90.738000000000014</v>
      </c>
      <c r="F9" s="15">
        <f>-F6*Assumptions!$C$17</f>
        <v>-96.635970000000015</v>
      </c>
      <c r="G9" s="15">
        <f>-G6*Assumptions!$C$17</f>
        <v>-102.91730805000003</v>
      </c>
      <c r="H9" s="15">
        <f>-H6*Assumptions!$C$17</f>
        <v>-109.60693307325005</v>
      </c>
      <c r="I9" s="15">
        <f>-I6*Assumptions!$C$17</f>
        <v>-116.73138372301128</v>
      </c>
      <c r="J9" s="15">
        <f>-J6*Assumptions!$C$17</f>
        <v>-124.31892366500701</v>
      </c>
      <c r="K9" s="15">
        <f>-K6*Assumptions!$C$17</f>
        <v>-132.39965370323247</v>
      </c>
      <c r="L9" s="15">
        <f>-L6*Assumptions!$C$17</f>
        <v>-141.00563119394258</v>
      </c>
      <c r="M9" s="15">
        <f>-M6*Assumptions!$C$17</f>
        <v>-150.17099722154884</v>
      </c>
      <c r="N9" s="15">
        <f>-N6*Assumptions!$C$17</f>
        <v>-159.93211204094953</v>
      </c>
      <c r="O9" s="15">
        <f>-O6*Assumptions!$C$17</f>
        <v>-170.32769932361123</v>
      </c>
      <c r="P9" s="15">
        <f>-P6*Assumptions!$C$17</f>
        <v>-177.14080729655569</v>
      </c>
      <c r="Q9" s="15">
        <f>-Q6*Assumptions!$C$17</f>
        <v>-184.22643958841792</v>
      </c>
      <c r="R9" s="15">
        <f>-R6*Assumptions!$C$17</f>
        <v>-191.59549717195466</v>
      </c>
      <c r="S9" s="15">
        <f>-S6*Assumptions!$C$17</f>
        <v>-199.25931705883286</v>
      </c>
      <c r="T9" s="15">
        <f>-T6*Assumptions!$C$17</f>
        <v>-207.22968974118621</v>
      </c>
      <c r="U9" s="15">
        <f>-U6*Assumptions!$C$17</f>
        <v>-215.51887733083367</v>
      </c>
      <c r="V9" s="15">
        <f>-V6*Assumptions!$C$17</f>
        <v>-224.13963242406703</v>
      </c>
      <c r="W9" s="15">
        <f>-W6*Assumptions!$C$17</f>
        <v>-233.10521772102973</v>
      </c>
      <c r="X9" s="15">
        <f>-X6*Assumptions!$C$17</f>
        <v>-242.42942642987094</v>
      </c>
      <c r="Y9" s="15">
        <f>-Y6*Assumptions!$C$17</f>
        <v>-252.12660348706581</v>
      </c>
      <c r="Z9" s="15">
        <f>-Z6*Assumptions!$C$17</f>
        <v>-262.21166762654843</v>
      </c>
      <c r="AA9" s="15">
        <f>-AA6*Assumptions!$C$17</f>
        <v>-272.7001343316104</v>
      </c>
      <c r="AB9" s="15">
        <f>-AB6*Assumptions!$C$17</f>
        <v>-280.88113836155873</v>
      </c>
      <c r="AC9" s="15">
        <f>-AC6*Assumptions!$C$17</f>
        <v>-289.3075725124055</v>
      </c>
      <c r="AD9" s="15">
        <f>-AD6*Assumptions!$C$17</f>
        <v>-297.9867996877777</v>
      </c>
      <c r="AE9" s="15">
        <f>-AE6*Assumptions!$C$17</f>
        <v>-306.92640367841108</v>
      </c>
      <c r="AF9" s="15">
        <f>-AF6*Assumptions!$C$17</f>
        <v>-316.13419578876341</v>
      </c>
      <c r="AG9" s="15">
        <f>-AG6*Assumptions!$C$17</f>
        <v>-325.61822166242638</v>
      </c>
      <c r="AH9" s="15">
        <f>-AH6*Assumptions!$C$17</f>
        <v>-335.38676831229918</v>
      </c>
      <c r="AI9" s="15">
        <f>-AI6*Assumptions!$C$17</f>
        <v>-345.44837136166819</v>
      </c>
      <c r="AJ9" s="15">
        <f>-AJ6*Assumptions!$C$17</f>
        <v>-355.81182250251828</v>
      </c>
      <c r="AK9" s="15">
        <f>-AK6*Assumptions!$C$17</f>
        <v>-366.48617717759379</v>
      </c>
      <c r="AL9" s="15">
        <f>-AL6*Assumptions!$C$17</f>
        <v>-377.48076249292166</v>
      </c>
    </row>
    <row r="10" spans="2:38" x14ac:dyDescent="0.2">
      <c r="B10" s="13" t="s">
        <v>37</v>
      </c>
      <c r="C10" s="16">
        <f t="shared" ref="C10:AL10" si="2">C8+C9</f>
        <v>2130</v>
      </c>
      <c r="D10" s="16">
        <f t="shared" si="2"/>
        <v>2268.4500000000003</v>
      </c>
      <c r="E10" s="16">
        <f t="shared" si="2"/>
        <v>2415.8992500000004</v>
      </c>
      <c r="F10" s="16">
        <f t="shared" si="2"/>
        <v>2572.9327012500007</v>
      </c>
      <c r="G10" s="16">
        <f t="shared" si="2"/>
        <v>2740.173326831251</v>
      </c>
      <c r="H10" s="16">
        <f t="shared" si="2"/>
        <v>2918.2845930752819</v>
      </c>
      <c r="I10" s="16">
        <f t="shared" si="2"/>
        <v>3107.9730916251751</v>
      </c>
      <c r="J10" s="16">
        <f t="shared" si="2"/>
        <v>3309.9913425808118</v>
      </c>
      <c r="K10" s="16">
        <f t="shared" si="2"/>
        <v>3525.1407798485643</v>
      </c>
      <c r="L10" s="16">
        <f t="shared" si="2"/>
        <v>3754.274930538721</v>
      </c>
      <c r="M10" s="16">
        <f t="shared" si="2"/>
        <v>3998.3028010237381</v>
      </c>
      <c r="N10" s="16">
        <f t="shared" si="2"/>
        <v>4258.1924830902808</v>
      </c>
      <c r="O10" s="16">
        <f t="shared" si="2"/>
        <v>4428.5201824138921</v>
      </c>
      <c r="P10" s="16">
        <f t="shared" si="2"/>
        <v>4605.6609897104481</v>
      </c>
      <c r="Q10" s="16">
        <f t="shared" si="2"/>
        <v>4789.8874292988667</v>
      </c>
      <c r="R10" s="16">
        <f t="shared" si="2"/>
        <v>4981.4829264708214</v>
      </c>
      <c r="S10" s="16">
        <f t="shared" si="2"/>
        <v>5180.7422435296548</v>
      </c>
      <c r="T10" s="16">
        <f t="shared" si="2"/>
        <v>5387.9719332708419</v>
      </c>
      <c r="U10" s="16">
        <f t="shared" si="2"/>
        <v>5603.4908106016755</v>
      </c>
      <c r="V10" s="16">
        <f t="shared" si="2"/>
        <v>5827.6304430257433</v>
      </c>
      <c r="W10" s="16">
        <f t="shared" si="2"/>
        <v>6060.7356607467736</v>
      </c>
      <c r="X10" s="16">
        <f t="shared" si="2"/>
        <v>6303.1650871766451</v>
      </c>
      <c r="Y10" s="16">
        <f t="shared" si="2"/>
        <v>6555.2916906637111</v>
      </c>
      <c r="Z10" s="16">
        <f t="shared" si="2"/>
        <v>6817.5033582902597</v>
      </c>
      <c r="AA10" s="16">
        <f t="shared" si="2"/>
        <v>7022.0284590389674</v>
      </c>
      <c r="AB10" s="16">
        <f t="shared" si="2"/>
        <v>7232.6893128101374</v>
      </c>
      <c r="AC10" s="16">
        <f t="shared" si="2"/>
        <v>7449.6699921944419</v>
      </c>
      <c r="AD10" s="16">
        <f t="shared" si="2"/>
        <v>7673.1600919602761</v>
      </c>
      <c r="AE10" s="16">
        <f t="shared" si="2"/>
        <v>7903.3548947190857</v>
      </c>
      <c r="AF10" s="16">
        <f t="shared" si="2"/>
        <v>8140.4555415606592</v>
      </c>
      <c r="AG10" s="16">
        <f t="shared" si="2"/>
        <v>8384.6692078074793</v>
      </c>
      <c r="AH10" s="16">
        <f t="shared" si="2"/>
        <v>8636.2092840417044</v>
      </c>
      <c r="AI10" s="16">
        <f t="shared" si="2"/>
        <v>8895.2955625629565</v>
      </c>
      <c r="AJ10" s="16">
        <f t="shared" si="2"/>
        <v>9162.1544294398445</v>
      </c>
      <c r="AK10" s="16">
        <f t="shared" si="2"/>
        <v>9437.019062323041</v>
      </c>
      <c r="AL10" s="16">
        <f t="shared" si="2"/>
        <v>9720.1296341927336</v>
      </c>
    </row>
    <row r="11" spans="2:38" x14ac:dyDescent="0.2">
      <c r="B11" s="13" t="s">
        <v>86</v>
      </c>
      <c r="C11" s="15">
        <f>C10*Assumptions!$C$8</f>
        <v>21300</v>
      </c>
      <c r="D11" s="15">
        <f>D10*Assumptions!$C$8</f>
        <v>22684.500000000004</v>
      </c>
      <c r="E11" s="15">
        <f>E10*Assumptions!$C$8</f>
        <v>24158.992500000004</v>
      </c>
      <c r="F11" s="15">
        <f>F10*Assumptions!$C$8</f>
        <v>25729.327012500005</v>
      </c>
      <c r="G11" s="15">
        <f>G10*Assumptions!$C$8</f>
        <v>27401.73326831251</v>
      </c>
      <c r="H11" s="15">
        <f>H10*Assumptions!$C$8</f>
        <v>29182.845930752817</v>
      </c>
      <c r="I11" s="15">
        <f>I10*Assumptions!$C$8</f>
        <v>31079.730916251752</v>
      </c>
      <c r="J11" s="15">
        <f>J10*Assumptions!$C$8</f>
        <v>33099.913425808118</v>
      </c>
      <c r="K11" s="15">
        <f>K10*Assumptions!$C$8</f>
        <v>35251.407798485641</v>
      </c>
      <c r="L11" s="15">
        <f>L10*Assumptions!$C$8</f>
        <v>37542.749305387209</v>
      </c>
      <c r="M11" s="15">
        <f>M10*Assumptions!$C$8</f>
        <v>39983.02801023738</v>
      </c>
      <c r="N11" s="15">
        <f>N10*Assumptions!$C$8</f>
        <v>42581.924830902804</v>
      </c>
      <c r="O11" s="15">
        <f>O10*Assumptions!$C$8</f>
        <v>44285.201824138923</v>
      </c>
      <c r="P11" s="15">
        <f>P10*Assumptions!$C$8</f>
        <v>46056.609897104485</v>
      </c>
      <c r="Q11" s="15">
        <f>Q10*Assumptions!$C$8</f>
        <v>47898.874292988665</v>
      </c>
      <c r="R11" s="15">
        <f>R10*Assumptions!$C$8</f>
        <v>49814.829264708213</v>
      </c>
      <c r="S11" s="15">
        <f>S10*Assumptions!$C$8</f>
        <v>51807.422435296547</v>
      </c>
      <c r="T11" s="15">
        <f>T10*Assumptions!$C$8</f>
        <v>53879.719332708417</v>
      </c>
      <c r="U11" s="15">
        <f>U10*Assumptions!$C$8</f>
        <v>56034.908106016752</v>
      </c>
      <c r="V11" s="15">
        <f>V10*Assumptions!$C$8</f>
        <v>58276.304430257434</v>
      </c>
      <c r="W11" s="15">
        <f>W10*Assumptions!$C$8</f>
        <v>60607.356607467736</v>
      </c>
      <c r="X11" s="15">
        <f>X10*Assumptions!$C$8</f>
        <v>63031.650871766455</v>
      </c>
      <c r="Y11" s="15">
        <f>Y10*Assumptions!$C$8</f>
        <v>65552.916906637111</v>
      </c>
      <c r="Z11" s="15">
        <f>Z10*Assumptions!$C$8</f>
        <v>68175.033582902601</v>
      </c>
      <c r="AA11" s="15">
        <f>AA10*Assumptions!$C$8</f>
        <v>70220.284590389667</v>
      </c>
      <c r="AB11" s="15">
        <f>AB10*Assumptions!$C$8</f>
        <v>72326.893128101379</v>
      </c>
      <c r="AC11" s="15">
        <f>AC10*Assumptions!$C$8</f>
        <v>74496.699921944411</v>
      </c>
      <c r="AD11" s="15">
        <f>AD10*Assumptions!$C$8</f>
        <v>76731.600919602759</v>
      </c>
      <c r="AE11" s="15">
        <f>AE10*Assumptions!$C$8</f>
        <v>79033.548947190851</v>
      </c>
      <c r="AF11" s="15">
        <f>AF10*Assumptions!$C$8</f>
        <v>81404.555415606592</v>
      </c>
      <c r="AG11" s="15">
        <f>AG10*Assumptions!$C$8</f>
        <v>83846.69207807479</v>
      </c>
      <c r="AH11" s="15">
        <f>AH10*Assumptions!$C$8</f>
        <v>86362.092840417041</v>
      </c>
      <c r="AI11" s="15">
        <f>AI10*Assumptions!$C$8</f>
        <v>88952.955625629562</v>
      </c>
      <c r="AJ11" s="15">
        <f>AJ10*Assumptions!$C$8</f>
        <v>91621.544294398453</v>
      </c>
      <c r="AK11" s="15">
        <f>AK10*Assumptions!$C$8</f>
        <v>94370.190623230417</v>
      </c>
      <c r="AL11" s="15">
        <f>AL10*Assumptions!$C$8</f>
        <v>97201.296341927344</v>
      </c>
    </row>
    <row r="12" spans="2:38" x14ac:dyDescent="0.2">
      <c r="B12" s="4" t="s">
        <v>87</v>
      </c>
      <c r="C12" s="15">
        <f>C11*Assumptions!$C$22</f>
        <v>2130</v>
      </c>
      <c r="D12" s="15">
        <f>D11*Assumptions!$C$22</f>
        <v>2268.4500000000003</v>
      </c>
      <c r="E12" s="15">
        <f>E11*Assumptions!$C$22</f>
        <v>2415.8992500000004</v>
      </c>
      <c r="F12" s="15">
        <f>F11*Assumptions!$C$22</f>
        <v>2572.9327012500007</v>
      </c>
      <c r="G12" s="15">
        <f>G11*Assumptions!$C$22</f>
        <v>2740.173326831251</v>
      </c>
      <c r="H12" s="15">
        <f>H11*Assumptions!$C$22</f>
        <v>2918.2845930752819</v>
      </c>
      <c r="I12" s="15">
        <f>I11*Assumptions!$C$22</f>
        <v>3107.9730916251756</v>
      </c>
      <c r="J12" s="15">
        <f>J11*Assumptions!$C$22</f>
        <v>3309.9913425808118</v>
      </c>
      <c r="K12" s="15">
        <f>K11*Assumptions!$C$22</f>
        <v>3525.1407798485643</v>
      </c>
      <c r="L12" s="15">
        <f>L11*Assumptions!$C$22</f>
        <v>3754.274930538721</v>
      </c>
      <c r="M12" s="15">
        <f>M11*Assumptions!$C$22</f>
        <v>3998.3028010237381</v>
      </c>
      <c r="N12" s="15">
        <f>N11*Assumptions!$C$22</f>
        <v>4258.1924830902808</v>
      </c>
      <c r="O12" s="15">
        <f>O11*Assumptions!$C$22</f>
        <v>4428.5201824138921</v>
      </c>
      <c r="P12" s="15">
        <f>P11*Assumptions!$C$22</f>
        <v>4605.660989710449</v>
      </c>
      <c r="Q12" s="15">
        <f>Q11*Assumptions!$C$22</f>
        <v>4789.8874292988667</v>
      </c>
      <c r="R12" s="15">
        <f>R11*Assumptions!$C$22</f>
        <v>4981.4829264708214</v>
      </c>
      <c r="S12" s="15">
        <f>S11*Assumptions!$C$22</f>
        <v>5180.7422435296548</v>
      </c>
      <c r="T12" s="15">
        <f>T11*Assumptions!$C$22</f>
        <v>5387.9719332708419</v>
      </c>
      <c r="U12" s="15">
        <f>U11*Assumptions!$C$22</f>
        <v>5603.4908106016755</v>
      </c>
      <c r="V12" s="15">
        <f>V11*Assumptions!$C$22</f>
        <v>5827.6304430257442</v>
      </c>
      <c r="W12" s="15">
        <f>W11*Assumptions!$C$22</f>
        <v>6060.7356607467736</v>
      </c>
      <c r="X12" s="15">
        <f>X11*Assumptions!$C$22</f>
        <v>6303.165087176646</v>
      </c>
      <c r="Y12" s="15">
        <f>Y11*Assumptions!$C$22</f>
        <v>6555.2916906637111</v>
      </c>
      <c r="Z12" s="15">
        <f>Z11*Assumptions!$C$22</f>
        <v>6817.5033582902606</v>
      </c>
      <c r="AA12" s="15">
        <f>AA11*Assumptions!$C$22</f>
        <v>7022.0284590389674</v>
      </c>
      <c r="AB12" s="15">
        <f>AB11*Assumptions!$C$22</f>
        <v>7232.6893128101383</v>
      </c>
      <c r="AC12" s="15">
        <f>AC11*Assumptions!$C$22</f>
        <v>7449.6699921944419</v>
      </c>
      <c r="AD12" s="15">
        <f>AD11*Assumptions!$C$22</f>
        <v>7673.1600919602761</v>
      </c>
      <c r="AE12" s="15">
        <f>AE11*Assumptions!$C$22</f>
        <v>7903.3548947190857</v>
      </c>
      <c r="AF12" s="15">
        <f>AF11*Assumptions!$C$22</f>
        <v>8140.4555415606592</v>
      </c>
      <c r="AG12" s="15">
        <f>AG11*Assumptions!$C$22</f>
        <v>8384.6692078074793</v>
      </c>
      <c r="AH12" s="15">
        <f>AH11*Assumptions!$C$22</f>
        <v>8636.2092840417044</v>
      </c>
      <c r="AI12" s="15">
        <f>AI11*Assumptions!$C$22</f>
        <v>8895.2955625629565</v>
      </c>
      <c r="AJ12" s="15">
        <f>AJ11*Assumptions!$C$22</f>
        <v>9162.1544294398464</v>
      </c>
      <c r="AK12" s="15">
        <f>AK11*Assumptions!$C$22</f>
        <v>9437.0190623230428</v>
      </c>
      <c r="AL12" s="15">
        <f>AL11*Assumptions!$C$22</f>
        <v>9720.1296341927355</v>
      </c>
    </row>
    <row r="13" spans="2:38" x14ac:dyDescent="0.2">
      <c r="B13" s="4" t="s">
        <v>88</v>
      </c>
      <c r="C13" s="28">
        <f>Assumptions!$C$9*(INT(SUM($B$10:C10)*Assumptions!$C$36*Assumptions!$C$24)-INT(SUM($B$10:B10)*Assumptions!$C$36*Assumptions!$C$24))</f>
        <v>0</v>
      </c>
      <c r="D13" s="15">
        <f>Assumptions!$C$9*(INT(SUM($B$10:D10)*Assumptions!$C$36*Assumptions!$C$24)-INT(SUM($B$10:C10)*Assumptions!$C$36*Assumptions!$C$24))</f>
        <v>10000</v>
      </c>
      <c r="E13" s="15">
        <f>Assumptions!$C$9*(INT(SUM($B$10:E10)*Assumptions!$C$36*Assumptions!$C$24)-INT(SUM($B$10:D10)*Assumptions!$C$36*Assumptions!$C$24))</f>
        <v>10000</v>
      </c>
      <c r="F13" s="15">
        <f>Assumptions!$C$9*(INT(SUM($B$10:F10)*Assumptions!$C$36*Assumptions!$C$24)-INT(SUM($B$10:E10)*Assumptions!$C$36*Assumptions!$C$24))</f>
        <v>10000</v>
      </c>
      <c r="G13" s="15">
        <f>Assumptions!$C$9*(INT(SUM($B$10:G10)*Assumptions!$C$36*Assumptions!$C$24)-INT(SUM($B$10:F10)*Assumptions!$C$36*Assumptions!$C$24))</f>
        <v>0</v>
      </c>
      <c r="H13" s="15">
        <f>Assumptions!$C$9*(INT(SUM($B$10:H10)*Assumptions!$C$36*Assumptions!$C$24)-INT(SUM($B$10:G10)*Assumptions!$C$36*Assumptions!$C$24))</f>
        <v>10000</v>
      </c>
      <c r="I13" s="15">
        <f>Assumptions!$C$9*(INT(SUM($B$10:I10)*Assumptions!$C$36*Assumptions!$C$24)-INT(SUM($B$10:H10)*Assumptions!$C$36*Assumptions!$C$24))</f>
        <v>10000</v>
      </c>
      <c r="J13" s="15">
        <f>Assumptions!$C$9*(INT(SUM($B$10:J10)*Assumptions!$C$36*Assumptions!$C$24)-INT(SUM($B$10:I10)*Assumptions!$C$36*Assumptions!$C$24))</f>
        <v>10000</v>
      </c>
      <c r="K13" s="15">
        <f>Assumptions!$C$9*(INT(SUM($B$10:K10)*Assumptions!$C$36*Assumptions!$C$24)-INT(SUM($B$10:J10)*Assumptions!$C$36*Assumptions!$C$24))</f>
        <v>10000</v>
      </c>
      <c r="L13" s="15">
        <f>Assumptions!$C$9*(INT(SUM($B$10:L10)*Assumptions!$C$36*Assumptions!$C$24)-INT(SUM($B$10:K10)*Assumptions!$C$36*Assumptions!$C$24))</f>
        <v>20000</v>
      </c>
      <c r="M13" s="15">
        <f>Assumptions!$C$9*(INT(SUM($B$10:M10)*Assumptions!$C$36*Assumptions!$C$24)-INT(SUM($B$10:L10)*Assumptions!$C$36*Assumptions!$C$24))</f>
        <v>10000</v>
      </c>
      <c r="N13" s="15">
        <f>Assumptions!$C$9*(INT(SUM($B$10:N10)*Assumptions!$C$36*Assumptions!$C$24)-INT(SUM($B$10:M10)*Assumptions!$C$36*Assumptions!$C$24))</f>
        <v>10000</v>
      </c>
      <c r="O13" s="15">
        <f>Assumptions!$C$9*(INT(SUM($B$10:O10)*Assumptions!$C$36*Assumptions!$C$24)-INT(SUM($B$10:N10)*Assumptions!$C$36*Assumptions!$C$24))</f>
        <v>20000</v>
      </c>
      <c r="P13" s="15">
        <f>Assumptions!$C$9*(INT(SUM($B$10:P10)*Assumptions!$C$36*Assumptions!$C$24)-INT(SUM($B$10:O10)*Assumptions!$C$36*Assumptions!$C$24))</f>
        <v>10000</v>
      </c>
      <c r="Q13" s="15">
        <f>Assumptions!$C$9*(INT(SUM($B$10:Q10)*Assumptions!$C$36*Assumptions!$C$24)-INT(SUM($B$10:P10)*Assumptions!$C$36*Assumptions!$C$24))</f>
        <v>20000</v>
      </c>
      <c r="R13" s="15">
        <f>Assumptions!$C$9*(INT(SUM($B$10:R10)*Assumptions!$C$36*Assumptions!$C$24)-INT(SUM($B$10:Q10)*Assumptions!$C$36*Assumptions!$C$24))</f>
        <v>10000</v>
      </c>
      <c r="S13" s="15">
        <f>Assumptions!$C$9*(INT(SUM($B$10:S10)*Assumptions!$C$36*Assumptions!$C$24)-INT(SUM($B$10:R10)*Assumptions!$C$36*Assumptions!$C$24))</f>
        <v>20000</v>
      </c>
      <c r="T13" s="15">
        <f>Assumptions!$C$9*(INT(SUM($B$10:T10)*Assumptions!$C$36*Assumptions!$C$24)-INT(SUM($B$10:S10)*Assumptions!$C$36*Assumptions!$C$24))</f>
        <v>20000</v>
      </c>
      <c r="U13" s="15">
        <f>Assumptions!$C$9*(INT(SUM($B$10:U10)*Assumptions!$C$36*Assumptions!$C$24)-INT(SUM($B$10:T10)*Assumptions!$C$36*Assumptions!$C$24))</f>
        <v>20000</v>
      </c>
      <c r="V13" s="15">
        <f>Assumptions!$C$9*(INT(SUM($B$10:V10)*Assumptions!$C$36*Assumptions!$C$24)-INT(SUM($B$10:U10)*Assumptions!$C$36*Assumptions!$C$24))</f>
        <v>10000</v>
      </c>
      <c r="W13" s="15">
        <f>Assumptions!$C$9*(INT(SUM($B$10:W10)*Assumptions!$C$36*Assumptions!$C$24)-INT(SUM($B$10:V10)*Assumptions!$C$36*Assumptions!$C$24))</f>
        <v>20000</v>
      </c>
      <c r="X13" s="15">
        <f>Assumptions!$C$9*(INT(SUM($B$10:X10)*Assumptions!$C$36*Assumptions!$C$24)-INT(SUM($B$10:W10)*Assumptions!$C$36*Assumptions!$C$24))</f>
        <v>20000</v>
      </c>
      <c r="Y13" s="15">
        <f>Assumptions!$C$9*(INT(SUM($B$10:Y10)*Assumptions!$C$36*Assumptions!$C$24)-INT(SUM($B$10:X10)*Assumptions!$C$36*Assumptions!$C$24))</f>
        <v>20000</v>
      </c>
      <c r="Z13" s="15">
        <f>Assumptions!$C$9*(INT(SUM($B$10:Z10)*Assumptions!$C$36*Assumptions!$C$24)-INT(SUM($B$10:Y10)*Assumptions!$C$36*Assumptions!$C$24))</f>
        <v>30000</v>
      </c>
      <c r="AA13" s="15">
        <f>Assumptions!$C$9*(INT(SUM($B$10:AA10)*Assumptions!$C$36*Assumptions!$C$24)-INT(SUM($B$10:Z10)*Assumptions!$C$36*Assumptions!$C$24))</f>
        <v>20000</v>
      </c>
      <c r="AB13" s="15">
        <f>Assumptions!$C$9*(INT(SUM($B$10:AB10)*Assumptions!$C$36*Assumptions!$C$24)-INT(SUM($B$10:AA10)*Assumptions!$C$36*Assumptions!$C$24))</f>
        <v>20000</v>
      </c>
      <c r="AC13" s="15">
        <f>Assumptions!$C$9*(INT(SUM($B$10:AC10)*Assumptions!$C$36*Assumptions!$C$24)-INT(SUM($B$10:AB10)*Assumptions!$C$36*Assumptions!$C$24))</f>
        <v>30000</v>
      </c>
      <c r="AD13" s="15">
        <f>Assumptions!$C$9*(INT(SUM($B$10:AD10)*Assumptions!$C$36*Assumptions!$C$24)-INT(SUM($B$10:AC10)*Assumptions!$C$36*Assumptions!$C$24))</f>
        <v>20000</v>
      </c>
      <c r="AE13" s="15">
        <f>Assumptions!$C$9*(INT(SUM($B$10:AE10)*Assumptions!$C$36*Assumptions!$C$24)-INT(SUM($B$10:AD10)*Assumptions!$C$36*Assumptions!$C$24))</f>
        <v>30000</v>
      </c>
      <c r="AF13" s="15">
        <f>Assumptions!$C$9*(INT(SUM($B$10:AF10)*Assumptions!$C$36*Assumptions!$C$24)-INT(SUM($B$10:AE10)*Assumptions!$C$36*Assumptions!$C$24))</f>
        <v>20000</v>
      </c>
      <c r="AG13" s="15">
        <f>Assumptions!$C$9*(INT(SUM($B$10:AG10)*Assumptions!$C$36*Assumptions!$C$24)-INT(SUM($B$10:AF10)*Assumptions!$C$36*Assumptions!$C$24))</f>
        <v>30000</v>
      </c>
      <c r="AH13" s="15">
        <f>Assumptions!$C$9*(INT(SUM($B$10:AH10)*Assumptions!$C$36*Assumptions!$C$24)-INT(SUM($B$10:AG10)*Assumptions!$C$36*Assumptions!$C$24))</f>
        <v>30000</v>
      </c>
      <c r="AI13" s="15">
        <f>Assumptions!$C$9*(INT(SUM($B$10:AI10)*Assumptions!$C$36*Assumptions!$C$24)-INT(SUM($B$10:AH10)*Assumptions!$C$36*Assumptions!$C$24))</f>
        <v>20000</v>
      </c>
      <c r="AJ13" s="15">
        <f>Assumptions!$C$9*(INT(SUM($B$10:AJ10)*Assumptions!$C$36*Assumptions!$C$24)-INT(SUM($B$10:AI10)*Assumptions!$C$36*Assumptions!$C$24))</f>
        <v>30000</v>
      </c>
      <c r="AK13" s="15">
        <f>Assumptions!$C$9*(INT(SUM($B$10:AK10)*Assumptions!$C$36*Assumptions!$C$24)-INT(SUM($B$10:AJ10)*Assumptions!$C$36*Assumptions!$C$24))</f>
        <v>30000</v>
      </c>
      <c r="AL13" s="15">
        <f>Assumptions!$C$9*(INT(SUM($B$10:AL10)*Assumptions!$C$36*Assumptions!$C$24)-INT(SUM($B$10:AK10)*Assumptions!$C$36*Assumptions!$C$24))</f>
        <v>40000</v>
      </c>
    </row>
    <row r="14" spans="2:38" x14ac:dyDescent="0.2">
      <c r="B14" s="4" t="s">
        <v>89</v>
      </c>
      <c r="C14" s="28">
        <f>Assumptions!$C$34/12*C10/$C$10</f>
        <v>13513.513513513513</v>
      </c>
      <c r="D14" s="15">
        <f>Assumptions!$C$34/12*D10/$C$10</f>
        <v>14391.891891891893</v>
      </c>
      <c r="E14" s="15">
        <f>Assumptions!$C$34/12*E10/$C$10</f>
        <v>15327.364864864867</v>
      </c>
      <c r="F14" s="15">
        <f>Assumptions!$C$34/12*F10/$C$10</f>
        <v>16323.643581081084</v>
      </c>
      <c r="G14" s="15">
        <f>Assumptions!$C$34/12*G10/$C$10</f>
        <v>17384.680413851358</v>
      </c>
      <c r="H14" s="15">
        <f>Assumptions!$C$34/12*H10/$C$10</f>
        <v>18514.684640751693</v>
      </c>
      <c r="I14" s="15">
        <f>Assumptions!$C$34/12*I10/$C$10</f>
        <v>19718.139142400552</v>
      </c>
      <c r="J14" s="15">
        <f>Assumptions!$C$34/12*J10/$C$10</f>
        <v>20999.81818665659</v>
      </c>
      <c r="K14" s="15">
        <f>Assumptions!$C$34/12*K10/$C$10</f>
        <v>22364.806368789265</v>
      </c>
      <c r="L14" s="15">
        <f>Assumptions!$C$34/12*L10/$C$10</f>
        <v>23818.51878276057</v>
      </c>
      <c r="M14" s="15">
        <f>Assumptions!$C$34/12*M10/$C$10</f>
        <v>25366.722503640009</v>
      </c>
      <c r="N14" s="15">
        <f>Assumptions!$C$34/12*N10/$C$10</f>
        <v>27015.559466376606</v>
      </c>
      <c r="O14" s="15">
        <f>Assumptions!$C$34/12*O10/$C$10</f>
        <v>28096.181845031671</v>
      </c>
      <c r="P14" s="15">
        <f>Assumptions!$C$34/12*P10/$C$10</f>
        <v>29220.029118832939</v>
      </c>
      <c r="Q14" s="15">
        <f>Assumptions!$C$34/12*Q10/$C$10</f>
        <v>30388.83028358626</v>
      </c>
      <c r="R14" s="15">
        <f>Assumptions!$C$34/12*R10/$C$10</f>
        <v>31604.383494929709</v>
      </c>
      <c r="S14" s="15">
        <f>Assumptions!$C$34/12*S10/$C$10</f>
        <v>32868.558834726908</v>
      </c>
      <c r="T14" s="15">
        <f>Assumptions!$C$34/12*T10/$C$10</f>
        <v>34183.301188115984</v>
      </c>
      <c r="U14" s="15">
        <f>Assumptions!$C$34/12*U10/$C$10</f>
        <v>35550.633235640627</v>
      </c>
      <c r="V14" s="15">
        <f>Assumptions!$C$34/12*V10/$C$10</f>
        <v>36972.65856506626</v>
      </c>
      <c r="W14" s="15">
        <f>Assumptions!$C$34/12*W10/$C$10</f>
        <v>38451.564907668908</v>
      </c>
      <c r="X14" s="15">
        <f>Assumptions!$C$34/12*X10/$C$10</f>
        <v>39989.627503975666</v>
      </c>
      <c r="Y14" s="15">
        <f>Assumptions!$C$34/12*Y10/$C$10</f>
        <v>41589.212604134693</v>
      </c>
      <c r="Z14" s="15">
        <f>Assumptions!$C$34/12*Z10/$C$10</f>
        <v>43252.781108300085</v>
      </c>
      <c r="AA14" s="15">
        <f>Assumptions!$C$34/12*AA10/$C$10</f>
        <v>44550.364541549083</v>
      </c>
      <c r="AB14" s="15">
        <f>Assumptions!$C$34/12*AB10/$C$10</f>
        <v>45886.875477795569</v>
      </c>
      <c r="AC14" s="15">
        <f>Assumptions!$C$34/12*AC10/$C$10</f>
        <v>47263.481742129436</v>
      </c>
      <c r="AD14" s="15">
        <f>Assumptions!$C$34/12*AD10/$C$10</f>
        <v>48681.386194393323</v>
      </c>
      <c r="AE14" s="15">
        <f>Assumptions!$C$34/12*AE10/$C$10</f>
        <v>50141.827780225132</v>
      </c>
      <c r="AF14" s="15">
        <f>Assumptions!$C$34/12*AF10/$C$10</f>
        <v>51646.082613631894</v>
      </c>
      <c r="AG14" s="15">
        <f>Assumptions!$C$34/12*AG10/$C$10</f>
        <v>53195.465092040853</v>
      </c>
      <c r="AH14" s="15">
        <f>Assumptions!$C$34/12*AH10/$C$10</f>
        <v>54791.329044802078</v>
      </c>
      <c r="AI14" s="15">
        <f>Assumptions!$C$34/12*AI10/$C$10</f>
        <v>56435.068916146149</v>
      </c>
      <c r="AJ14" s="15">
        <f>Assumptions!$C$34/12*AJ10/$C$10</f>
        <v>58128.120983630528</v>
      </c>
      <c r="AK14" s="15">
        <f>Assumptions!$C$34/12*AK10/$C$10</f>
        <v>59871.964613139455</v>
      </c>
      <c r="AL14" s="15">
        <f>Assumptions!$C$34/12*AL10/$C$10</f>
        <v>61668.123551533645</v>
      </c>
    </row>
  </sheetData>
  <mergeCells count="2">
    <mergeCell ref="B2:E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6"/>
  <sheetViews>
    <sheetView showGridLines="0" tabSelected="1" zoomScaleNormal="100" workbookViewId="0">
      <selection activeCell="C6" sqref="C6"/>
    </sheetView>
  </sheetViews>
  <sheetFormatPr baseColWidth="10" defaultColWidth="8.6640625" defaultRowHeight="15" x14ac:dyDescent="0.2"/>
  <cols>
    <col min="1" max="1" width="2" customWidth="1"/>
    <col min="2" max="2" width="40" customWidth="1"/>
    <col min="3" max="5" width="18" customWidth="1"/>
    <col min="6" max="6" width="3" customWidth="1"/>
    <col min="7" max="7" width="34" customWidth="1"/>
  </cols>
  <sheetData>
    <row r="2" spans="2:7" ht="27.75" customHeight="1" x14ac:dyDescent="0.2">
      <c r="B2" s="48" t="s">
        <v>38</v>
      </c>
      <c r="C2" s="48"/>
      <c r="D2" s="48"/>
      <c r="E2" s="48"/>
    </row>
    <row r="3" spans="2:7" x14ac:dyDescent="0.2">
      <c r="B3" s="49" t="s">
        <v>39</v>
      </c>
      <c r="C3" s="49"/>
      <c r="D3" s="49"/>
      <c r="E3" s="49"/>
      <c r="F3" s="49"/>
      <c r="G3" s="49"/>
    </row>
    <row r="5" spans="2:7" ht="19.5" customHeight="1" x14ac:dyDescent="0.2">
      <c r="B5" s="17" t="s">
        <v>40</v>
      </c>
      <c r="C5" s="18">
        <v>2026</v>
      </c>
      <c r="D5" s="18" t="s">
        <v>132</v>
      </c>
      <c r="E5" s="18" t="s">
        <v>41</v>
      </c>
    </row>
    <row r="6" spans="2:7" x14ac:dyDescent="0.2">
      <c r="B6" s="13" t="s">
        <v>131</v>
      </c>
      <c r="C6" s="19">
        <f>'Build (Monthly)'!C10</f>
        <v>2130</v>
      </c>
      <c r="D6" s="19">
        <f>'Build (Monthly)'!AL10</f>
        <v>9720.1296341927336</v>
      </c>
      <c r="E6" s="19">
        <f>'Build (Monthly)'!AL10*(1+Assumptions!$C$35)^48</f>
        <v>22885.763256971924</v>
      </c>
      <c r="G6" s="20" t="s">
        <v>42</v>
      </c>
    </row>
    <row r="7" spans="2:7" x14ac:dyDescent="0.2">
      <c r="B7" s="13" t="s">
        <v>90</v>
      </c>
      <c r="C7" s="40">
        <f>SUM('Build (Monthly)'!C11:N11)</f>
        <v>369996.15299863822</v>
      </c>
      <c r="D7" s="40">
        <f>'Build (Monthly)'!AL11*12</f>
        <v>1166415.556103128</v>
      </c>
      <c r="E7" s="40">
        <f>E6*Assumptions!$C$8*12</f>
        <v>2746291.5908366311</v>
      </c>
      <c r="G7" s="20" t="s">
        <v>134</v>
      </c>
    </row>
    <row r="8" spans="2:7" x14ac:dyDescent="0.2">
      <c r="B8" s="13" t="s">
        <v>91</v>
      </c>
      <c r="C8" s="40">
        <f>SUM('Build (Monthly)'!C14:N14)</f>
        <v>234739.34335657803</v>
      </c>
      <c r="D8" s="40">
        <f>'Build (Monthly)'!AL14*12</f>
        <v>740017.48261840374</v>
      </c>
      <c r="E8" s="40">
        <f>Assumptions!$C$34*E6/$C$6</f>
        <v>1742349.6960009078</v>
      </c>
      <c r="G8" s="20" t="s">
        <v>135</v>
      </c>
    </row>
    <row r="9" spans="2:7" x14ac:dyDescent="0.2">
      <c r="B9" s="13" t="s">
        <v>92</v>
      </c>
      <c r="C9" s="40">
        <f>C7+C8</f>
        <v>604735.49635521625</v>
      </c>
      <c r="D9" s="40">
        <f>D7+D8</f>
        <v>1906433.0387215316</v>
      </c>
      <c r="E9" s="40">
        <f>E7+E8</f>
        <v>4488641.2868375387</v>
      </c>
      <c r="G9" s="20" t="s">
        <v>62</v>
      </c>
    </row>
    <row r="10" spans="2:7" x14ac:dyDescent="0.2">
      <c r="B10" s="4" t="s">
        <v>93</v>
      </c>
      <c r="C10" s="41">
        <f>C9*Assumptions!$C$21</f>
        <v>399125.42759444274</v>
      </c>
      <c r="D10" s="41">
        <f>D9*Assumptions!$C$21</f>
        <v>1258245.8055562109</v>
      </c>
      <c r="E10" s="41">
        <f>E9*Assumptions!$C$21</f>
        <v>2962503.2493127757</v>
      </c>
      <c r="G10" s="20" t="s">
        <v>43</v>
      </c>
    </row>
    <row r="11" spans="2:7" ht="36" x14ac:dyDescent="0.2">
      <c r="B11" s="4" t="s">
        <v>94</v>
      </c>
      <c r="C11" s="41">
        <f>C10-Assumptions!$C$25*12*(C6/$C$6)^Assumptions!$C$26-C9*Assumptions!$C$23</f>
        <v>26961.881442163809</v>
      </c>
      <c r="D11" s="41">
        <f>D10-Assumptions!$C$25*12*(D6/$C$6)^Assumptions!$C$26-D9*Assumptions!$C$23</f>
        <v>191701.36557926988</v>
      </c>
      <c r="E11" s="41">
        <f>E10-Assumptions!$C$25*12*(E6/$C$6)^Assumptions!$C$26-E9*Assumptions!$C$23</f>
        <v>822681.89764422551</v>
      </c>
      <c r="G11" s="20" t="s">
        <v>136</v>
      </c>
    </row>
    <row r="13" spans="2:7" ht="18" customHeight="1" x14ac:dyDescent="0.2">
      <c r="B13" s="50" t="s">
        <v>44</v>
      </c>
      <c r="C13" s="50"/>
      <c r="D13" s="50"/>
      <c r="E13" s="50"/>
    </row>
    <row r="14" spans="2:7" ht="24" x14ac:dyDescent="0.2">
      <c r="B14" s="13" t="s">
        <v>61</v>
      </c>
      <c r="C14" s="21">
        <f>Assumptions!$C$7/C9</f>
        <v>3.5753848999995324</v>
      </c>
      <c r="D14" s="31">
        <f>Assumptions!$C$29</f>
        <v>2.7</v>
      </c>
      <c r="E14" s="31">
        <f>Assumptions!$C$30</f>
        <v>6</v>
      </c>
      <c r="G14" s="20" t="s">
        <v>103</v>
      </c>
    </row>
    <row r="15" spans="2:7" x14ac:dyDescent="0.2">
      <c r="B15" s="13" t="s">
        <v>95</v>
      </c>
      <c r="C15" s="42">
        <f>Assumptions!$C$7</f>
        <v>2162162.1621621624</v>
      </c>
      <c r="D15" s="42">
        <f>Assumptions!$C$31</f>
        <v>5232432.4324324327</v>
      </c>
      <c r="E15" s="42">
        <f>Assumptions!$C$32</f>
        <v>27027027.027027026</v>
      </c>
      <c r="G15" s="20" t="s">
        <v>45</v>
      </c>
    </row>
    <row r="16" spans="2:7" ht="24" x14ac:dyDescent="0.2">
      <c r="B16" s="4" t="s">
        <v>96</v>
      </c>
      <c r="C16" s="41">
        <f>C9*C14</f>
        <v>2162162.1621621624</v>
      </c>
      <c r="D16" s="41">
        <f>D9*D14</f>
        <v>5147369.2045481354</v>
      </c>
      <c r="E16" s="41">
        <f>E9*E14</f>
        <v>26931847.721025232</v>
      </c>
      <c r="G16" s="20" t="s">
        <v>46</v>
      </c>
    </row>
    <row r="17" spans="2:7" x14ac:dyDescent="0.2">
      <c r="B17" s="26" t="s">
        <v>97</v>
      </c>
      <c r="C17" s="43"/>
      <c r="D17" s="43"/>
      <c r="E17" s="43"/>
      <c r="G17" s="20"/>
    </row>
    <row r="19" spans="2:7" x14ac:dyDescent="0.2">
      <c r="B19" s="25" t="s">
        <v>101</v>
      </c>
      <c r="C19" s="33">
        <f>C16*Assumptions!$C$10</f>
        <v>40000000</v>
      </c>
      <c r="D19" s="33">
        <f>D16*Assumptions!$C$10</f>
        <v>95226330.284140497</v>
      </c>
      <c r="E19" s="33">
        <f>E16*Assumptions!$C$10</f>
        <v>498239182.83896679</v>
      </c>
    </row>
    <row r="20" spans="2:7" x14ac:dyDescent="0.2">
      <c r="B20" s="25" t="s">
        <v>102</v>
      </c>
      <c r="C20" s="33">
        <f>Assumptions!$C$7*Assumptions!$C$10</f>
        <v>40000000</v>
      </c>
      <c r="D20" s="33">
        <f>Assumptions!$C$31*Assumptions!$C$10</f>
        <v>96800000</v>
      </c>
      <c r="E20" s="33">
        <f>Assumptions!$C$32*Assumptions!$C$10</f>
        <v>500000000</v>
      </c>
    </row>
    <row r="22" spans="2:7" x14ac:dyDescent="0.2">
      <c r="B22" s="22" t="s">
        <v>121</v>
      </c>
    </row>
    <row r="23" spans="2:7" s="35" customFormat="1" ht="13" x14ac:dyDescent="0.15">
      <c r="B23" s="35" t="s">
        <v>122</v>
      </c>
      <c r="C23" s="46" t="s">
        <v>123</v>
      </c>
    </row>
    <row r="24" spans="2:7" s="35" customFormat="1" ht="13" x14ac:dyDescent="0.15">
      <c r="B24" s="35" t="s">
        <v>124</v>
      </c>
      <c r="C24" s="46" t="s">
        <v>125</v>
      </c>
    </row>
    <row r="25" spans="2:7" s="35" customFormat="1" ht="13" x14ac:dyDescent="0.15">
      <c r="B25" s="35" t="s">
        <v>126</v>
      </c>
      <c r="C25" s="46" t="s">
        <v>127</v>
      </c>
    </row>
    <row r="26" spans="2:7" s="47" customFormat="1" ht="14" x14ac:dyDescent="0.15">
      <c r="B26" s="26" t="s">
        <v>128</v>
      </c>
      <c r="C26" s="26" t="s">
        <v>129</v>
      </c>
    </row>
  </sheetData>
  <mergeCells count="3">
    <mergeCell ref="B2:E2"/>
    <mergeCell ref="B3:G3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3"/>
  <sheetViews>
    <sheetView showGridLines="0" zoomScaleNormal="100" workbookViewId="0">
      <selection activeCell="E6" sqref="E6"/>
    </sheetView>
  </sheetViews>
  <sheetFormatPr baseColWidth="10" defaultColWidth="8.6640625" defaultRowHeight="15" x14ac:dyDescent="0.2"/>
  <cols>
    <col min="1" max="1" width="2" customWidth="1"/>
    <col min="2" max="2" width="42" customWidth="1"/>
    <col min="3" max="5" width="20" customWidth="1"/>
    <col min="6" max="6" width="36" customWidth="1"/>
  </cols>
  <sheetData>
    <row r="2" spans="2:6" ht="30" customHeight="1" x14ac:dyDescent="0.2">
      <c r="B2" s="48" t="s">
        <v>64</v>
      </c>
      <c r="C2" s="48"/>
      <c r="D2" s="48"/>
      <c r="E2" s="48"/>
    </row>
    <row r="3" spans="2:6" x14ac:dyDescent="0.2">
      <c r="B3" s="49" t="s">
        <v>47</v>
      </c>
      <c r="C3" s="49"/>
      <c r="D3" s="49"/>
      <c r="E3" s="49"/>
      <c r="F3" s="49"/>
    </row>
    <row r="5" spans="2:6" ht="19.5" customHeight="1" x14ac:dyDescent="0.2">
      <c r="B5" s="17"/>
      <c r="C5" s="18" t="s">
        <v>48</v>
      </c>
      <c r="D5" s="18" t="s">
        <v>49</v>
      </c>
      <c r="E5" s="18" t="s">
        <v>41</v>
      </c>
    </row>
    <row r="6" spans="2:6" x14ac:dyDescent="0.2">
      <c r="B6" s="4" t="s">
        <v>98</v>
      </c>
      <c r="C6" s="44">
        <f>Valuation!C15</f>
        <v>2162162.1621621624</v>
      </c>
      <c r="D6" s="44">
        <f>Valuation!D15</f>
        <v>5232432.4324324327</v>
      </c>
      <c r="E6" s="44">
        <f>Valuation!E15</f>
        <v>27027027.027027026</v>
      </c>
      <c r="F6" s="20" t="s">
        <v>50</v>
      </c>
    </row>
    <row r="7" spans="2:6" x14ac:dyDescent="0.2">
      <c r="B7" s="4" t="s">
        <v>51</v>
      </c>
      <c r="C7" s="32">
        <f>Assumptions!$C$6</f>
        <v>0.05</v>
      </c>
      <c r="D7" s="32">
        <f>Assumptions!$C$6</f>
        <v>0.05</v>
      </c>
      <c r="E7" s="32">
        <f>Assumptions!$C$6</f>
        <v>0.05</v>
      </c>
      <c r="F7" s="20" t="s">
        <v>79</v>
      </c>
    </row>
    <row r="8" spans="2:6" x14ac:dyDescent="0.2">
      <c r="B8" s="13" t="s">
        <v>99</v>
      </c>
      <c r="C8" s="45">
        <f>C6*C7</f>
        <v>108108.10810810812</v>
      </c>
      <c r="D8" s="45">
        <f>D6*D7</f>
        <v>261621.62162162166</v>
      </c>
      <c r="E8" s="45">
        <f>E6*E7</f>
        <v>1351351.3513513515</v>
      </c>
      <c r="F8" s="20" t="s">
        <v>52</v>
      </c>
    </row>
    <row r="10" spans="2:6" x14ac:dyDescent="0.2">
      <c r="B10" s="4" t="s">
        <v>100</v>
      </c>
      <c r="C10" s="41">
        <f>C8-C8</f>
        <v>0</v>
      </c>
      <c r="D10" s="41">
        <f>D8-C8</f>
        <v>153513.51351351355</v>
      </c>
      <c r="E10" s="41">
        <f>E8-C8</f>
        <v>1243243.2432432433</v>
      </c>
      <c r="F10" s="20" t="s">
        <v>53</v>
      </c>
    </row>
    <row r="11" spans="2:6" ht="24" x14ac:dyDescent="0.2">
      <c r="B11" s="13" t="s">
        <v>54</v>
      </c>
      <c r="C11" s="21">
        <f>C8/C8</f>
        <v>1</v>
      </c>
      <c r="D11" s="21">
        <f>D8/C8</f>
        <v>2.42</v>
      </c>
      <c r="E11" s="21">
        <f>E8/C8</f>
        <v>12.5</v>
      </c>
      <c r="F11" s="20" t="s">
        <v>107</v>
      </c>
    </row>
    <row r="12" spans="2:6" x14ac:dyDescent="0.2">
      <c r="B12" s="25" t="s">
        <v>104</v>
      </c>
      <c r="C12" s="33">
        <f>C8*Assumptions!$C$10</f>
        <v>2000000.0000000002</v>
      </c>
      <c r="D12" s="33">
        <f>D8*Assumptions!$C$10</f>
        <v>4840000.0000000009</v>
      </c>
      <c r="E12" s="33">
        <f>E8*Assumptions!$C$10</f>
        <v>25000000.000000004</v>
      </c>
    </row>
    <row r="13" spans="2:6" ht="45.75" customHeight="1" x14ac:dyDescent="0.2">
      <c r="B13" s="53" t="s">
        <v>55</v>
      </c>
      <c r="C13" s="53"/>
      <c r="D13" s="53"/>
      <c r="E13" s="53"/>
      <c r="F13" s="53"/>
    </row>
  </sheetData>
  <mergeCells count="3">
    <mergeCell ref="B2:E2"/>
    <mergeCell ref="B3:F3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Assumptions</vt:lpstr>
      <vt:lpstr>Build (Monthly)</vt:lpstr>
      <vt:lpstr>Valuation</vt:lpstr>
      <vt:lpstr>Ernie's Stake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Johannes Le Roux</cp:lastModifiedBy>
  <cp:revision>0</cp:revision>
  <dcterms:created xsi:type="dcterms:W3CDTF">2026-06-25T13:44:26Z</dcterms:created>
  <dcterms:modified xsi:type="dcterms:W3CDTF">2026-06-26T11:26:48Z</dcterms:modified>
  <dc:language>en-US</dc:language>
</cp:coreProperties>
</file>