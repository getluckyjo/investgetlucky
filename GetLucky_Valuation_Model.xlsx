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8800" windowHeight="17580" tabRatio="500" firstSheet="0" activeTab="3" autoFilterDateGrouping="1"/>
  </bookViews>
  <sheets>
    <sheet name="Read Me" sheetId="1" state="visible" r:id="rId1"/>
    <sheet name="Assumptions" sheetId="2" state="visible" r:id="rId2"/>
    <sheet name="Build (Monthly)" sheetId="3" state="visible" r:id="rId3"/>
    <sheet name="Simulator" sheetId="4" state="visible" r:id="rId4"/>
    <sheet name="Sponsorship" sheetId="5" state="visible" r:id="rId5"/>
    <sheet name="Upsells" sheetId="6" state="visible" r:id="rId6"/>
    <sheet name="Valuation" sheetId="7" state="visible" r:id="rId7"/>
    <sheet name="Ernie's Stake" sheetId="8" state="visible" r:id="rId8"/>
  </sheets>
  <definedNames/>
  <calcPr calcId="191029" fullCalcOnLoad="1" iterateDelta="0.0001"/>
</workbook>
</file>

<file path=xl/styles.xml><?xml version="1.0" encoding="utf-8"?>
<styleSheet xmlns="http://schemas.openxmlformats.org/spreadsheetml/2006/main">
  <numFmts count="16">
    <numFmt numFmtId="164" formatCode="0.0%;\(0.0%\);\-"/>
    <numFmt numFmtId="165" formatCode="\$#,##0;&quot;($&quot;#,##0\);\-"/>
    <numFmt numFmtId="166" formatCode="#,##0;\(#,##0\);\-"/>
    <numFmt numFmtId="167" formatCode="0.000%"/>
    <numFmt numFmtId="168" formatCode="0.0\x"/>
    <numFmt numFmtId="169" formatCode="0.00%;\(0.00%\);\-"/>
    <numFmt numFmtId="170" formatCode="&quot;R &quot;#,##0;\(&quot;R &quot;#,##0\);\-"/>
    <numFmt numFmtId="171" formatCode="[$USD]\ #,##0;\([$USD]\ #,##0\);\-"/>
    <numFmt numFmtId="172" formatCode="[$USD]\ #,##0.00"/>
    <numFmt numFmtId="173" formatCode="[$USD] #,##0;([$USD] #,##0);-"/>
    <numFmt numFmtId="174" formatCode="0.0%;(0.0%);-"/>
    <numFmt numFmtId="175" formatCode="#,##0;(#,##0);-"/>
    <numFmt numFmtId="176" formatCode="0.00%;(0.00%);-"/>
    <numFmt numFmtId="177" formatCode="&quot;R &quot;#,##0;(&quot;R &quot;#,##0);-"/>
    <numFmt numFmtId="178" formatCode="0.0x"/>
    <numFmt numFmtId="179" formatCode="0.00\x"/>
  </numFmts>
  <fonts count="34">
    <font>
      <name val="Calibri"/>
      <charset val="1"/>
      <family val="2"/>
      <color theme="1"/>
      <sz val="11"/>
    </font>
    <font>
      <name val="Arial"/>
      <family val="2"/>
      <b val="1"/>
      <color rgb="FF1B2A1F"/>
      <sz val="16"/>
    </font>
    <font>
      <name val="Arial"/>
      <family val="2"/>
      <b val="1"/>
      <i val="1"/>
      <color rgb="FFC9A24B"/>
      <sz val="11"/>
    </font>
    <font>
      <name val="Arial"/>
      <family val="2"/>
      <b val="1"/>
      <color rgb="FF1B2A1F"/>
      <sz val="10"/>
    </font>
    <font>
      <name val="Arial"/>
      <family val="2"/>
      <color rgb="FF000000"/>
      <sz val="10"/>
    </font>
    <font>
      <name val="Arial"/>
      <family val="2"/>
      <b val="1"/>
      <color rgb="FFFFFFFF"/>
      <sz val="14"/>
    </font>
    <font>
      <name val="Arial"/>
      <family val="2"/>
      <b val="1"/>
      <i val="1"/>
      <color rgb="FF666666"/>
      <sz val="9"/>
    </font>
    <font>
      <name val="Arial"/>
      <family val="2"/>
      <b val="1"/>
      <color rgb="FFFFFFFF"/>
      <sz val="11"/>
    </font>
    <font>
      <name val="Arial"/>
      <family val="2"/>
      <color rgb="FF0000FF"/>
      <sz val="10"/>
    </font>
    <font>
      <name val="Arial"/>
      <family val="2"/>
      <i val="1"/>
      <color rgb="FF666666"/>
      <sz val="8"/>
    </font>
    <font>
      <name val="Arial"/>
      <family val="2"/>
      <b val="1"/>
      <color rgb="FF000000"/>
      <sz val="10"/>
    </font>
    <font>
      <name val="Arial"/>
      <family val="2"/>
      <color rgb="FF008000"/>
      <sz val="10"/>
    </font>
    <font>
      <name val="Arial"/>
      <family val="2"/>
      <color rgb="FFFFFFFF"/>
      <sz val="11"/>
    </font>
    <font>
      <name val="Arial"/>
      <family val="2"/>
      <color rgb="FF666666"/>
      <sz val="8"/>
    </font>
    <font>
      <name val="Calibri"/>
      <charset val="1"/>
      <family val="2"/>
      <color rgb="FF666666"/>
      <sz val="9"/>
    </font>
    <font>
      <name val="Arial"/>
      <family val="2"/>
      <color rgb="FF666666"/>
      <sz val="9"/>
    </font>
    <font>
      <name val="Arial"/>
      <family val="2"/>
      <color theme="1"/>
      <sz val="10"/>
    </font>
    <font>
      <name val="Calibri"/>
      <charset val="1"/>
      <family val="2"/>
      <color rgb="FF008000"/>
      <sz val="11"/>
    </font>
    <font>
      <name val="Arial"/>
      <family val="2"/>
      <b val="1"/>
      <color rgb="FF008000"/>
      <sz val="10"/>
    </font>
    <font>
      <name val="Arial"/>
      <family val="2"/>
      <color rgb="FF333333"/>
      <sz val="10"/>
    </font>
    <font>
      <name val="Arial"/>
      <family val="2"/>
      <color theme="1"/>
      <sz val="11"/>
    </font>
    <font>
      <name val="Arial"/>
      <b val="1"/>
      <color rgb="FFFFFFFF"/>
      <sz val="14"/>
    </font>
    <font>
      <name val="Arial"/>
      <color rgb="FF000000"/>
      <sz val="10"/>
    </font>
    <font>
      <name val="Arial"/>
      <color rgb="FF666666"/>
      <sz val="9"/>
    </font>
    <font>
      <name val="Arial"/>
      <b val="1"/>
      <color rgb="FFFFFFFF"/>
      <sz val="11"/>
    </font>
    <font>
      <name val="Arial"/>
      <b val="1"/>
      <color rgb="FFC00000"/>
      <sz val="10"/>
    </font>
    <font>
      <name val="Arial"/>
      <color rgb="FF666666"/>
      <sz val="8"/>
    </font>
    <font>
      <name val="Arial"/>
      <color rgb="FF0000FF"/>
      <sz val="10"/>
    </font>
    <font>
      <name val="Arial"/>
      <b val="1"/>
      <color rgb="FF000000"/>
      <sz val="10"/>
    </font>
    <font>
      <name val="Calibri"/>
      <color rgb="FF666666"/>
      <sz val="9"/>
    </font>
    <font>
      <name val="Arial"/>
      <sz val="10"/>
    </font>
    <font>
      <name val="Arial"/>
      <color rgb="FF008000"/>
      <sz val="10"/>
    </font>
    <font>
      <name val="Arial"/>
      <color rgb="FF333333"/>
      <sz val="9"/>
    </font>
    <font>
      <name val="Arial"/>
      <b val="1"/>
      <color rgb="FF335231"/>
      <sz val="10"/>
    </font>
  </fonts>
  <fills count="12">
    <fill>
      <patternFill/>
    </fill>
    <fill>
      <patternFill patternType="gray125"/>
    </fill>
    <fill>
      <patternFill patternType="solid">
        <fgColor rgb="FF1B2A1F"/>
        <bgColor rgb="FF003300"/>
      </patternFill>
    </fill>
    <fill>
      <patternFill patternType="solid">
        <fgColor rgb="FF2E4034"/>
        <bgColor rgb="FF1B2A1F"/>
      </patternFill>
    </fill>
    <fill>
      <patternFill patternType="solid">
        <fgColor rgb="FFFFF6D6"/>
        <bgColor rgb="FFF0EFEA"/>
      </patternFill>
    </fill>
    <fill>
      <patternFill patternType="solid">
        <fgColor rgb="FFF0EFEA"/>
        <bgColor rgb="FFFFF6D6"/>
      </patternFill>
    </fill>
    <fill>
      <patternFill patternType="solid">
        <fgColor rgb="FFC9A24B"/>
        <bgColor rgb="FFFF9900"/>
      </patternFill>
    </fill>
    <fill>
      <patternFill patternType="solid">
        <fgColor rgb="FF2E4034"/>
        <bgColor indexed="64"/>
      </patternFill>
    </fill>
    <fill>
      <patternFill patternType="solid">
        <fgColor rgb="FFFFF6D6"/>
        <bgColor indexed="64"/>
      </patternFill>
    </fill>
    <fill>
      <patternFill patternType="solid">
        <fgColor rgb="FF1B2A1F"/>
      </patternFill>
    </fill>
    <fill>
      <patternFill patternType="solid">
        <fgColor rgb="FF2E4034"/>
      </patternFill>
    </fill>
    <fill>
      <patternFill patternType="solid">
        <fgColor rgb="FFFFF6D6"/>
      </patternFill>
    </fill>
  </fills>
  <borders count="4">
    <border>
      <left/>
      <right/>
      <top/>
      <bottom/>
      <diagonal/>
    </border>
    <border>
      <left style="thin">
        <color rgb="FFD9D6CC"/>
      </left>
      <right style="thin">
        <color rgb="FFD9D6CC"/>
      </right>
      <top style="thin">
        <color rgb="FFD9D6CC"/>
      </top>
      <bottom style="thin">
        <color rgb="FFD9D6CC"/>
      </bottom>
      <diagonal/>
    </border>
    <border>
      <left style="thin">
        <color rgb="FFD9D6CC"/>
      </left>
      <right style="thin">
        <color rgb="FFD9D6CC"/>
      </right>
      <top/>
      <bottom/>
      <diagonal/>
    </border>
    <border>
      <left style="thin">
        <color rgb="FFD9D6CC"/>
      </left>
      <right style="thin">
        <color rgb="FFD9D6CC"/>
      </right>
      <top style="thin">
        <color rgb="FFD9D6CC"/>
      </top>
      <bottom/>
      <diagonal/>
    </border>
  </borders>
  <cellStyleXfs count="1">
    <xf numFmtId="0" fontId="0" fillId="0" borderId="0"/>
  </cellStyleXfs>
  <cellXfs count="122">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164" fontId="8" fillId="0" borderId="1" pivotButton="0" quotePrefix="0" xfId="0"/>
    <xf numFmtId="165" fontId="8" fillId="0" borderId="1" pivotButton="0" quotePrefix="0" xfId="0"/>
    <xf numFmtId="2" fontId="8" fillId="4" borderId="1" pivotButton="0" quotePrefix="0" xfId="0"/>
    <xf numFmtId="166" fontId="8" fillId="4" borderId="1" pivotButton="0" quotePrefix="0" xfId="0"/>
    <xf numFmtId="164" fontId="8" fillId="4" borderId="1" pivotButton="0" quotePrefix="0" xfId="0"/>
    <xf numFmtId="167" fontId="8" fillId="4" borderId="1" pivotButton="0" quotePrefix="0" xfId="0"/>
    <xf numFmtId="168" fontId="4" fillId="0" borderId="1" pivotButton="0" quotePrefix="0" xfId="0"/>
    <xf numFmtId="168" fontId="8" fillId="4" borderId="1" pivotButton="0" quotePrefix="0" xfId="0"/>
    <xf numFmtId="0" fontId="10" fillId="0" borderId="0" pivotButton="0" quotePrefix="0" xfId="0"/>
    <xf numFmtId="1" fontId="10" fillId="5" borderId="1" applyAlignment="1" pivotButton="0" quotePrefix="0" xfId="0">
      <alignment horizontal="center"/>
    </xf>
    <xf numFmtId="166" fontId="4" fillId="0" borderId="1" pivotButton="0" quotePrefix="0" xfId="0"/>
    <xf numFmtId="166" fontId="4" fillId="5" borderId="1" pivotButton="0" quotePrefix="0" xfId="0"/>
    <xf numFmtId="0" fontId="7" fillId="3" borderId="1" applyAlignment="1" pivotButton="0" quotePrefix="0" xfId="0">
      <alignment horizontal="left" vertical="center" indent="1"/>
    </xf>
    <xf numFmtId="0" fontId="7" fillId="3" borderId="1" applyAlignment="1" pivotButton="0" quotePrefix="0" xfId="0">
      <alignment horizontal="center" vertical="center"/>
    </xf>
    <xf numFmtId="166" fontId="10" fillId="0" borderId="1" pivotButton="0" quotePrefix="0" xfId="0"/>
    <xf numFmtId="0" fontId="9" fillId="0" borderId="0" applyAlignment="1" pivotButton="0" quotePrefix="0" xfId="0">
      <alignment vertical="center" wrapText="1"/>
    </xf>
    <xf numFmtId="168" fontId="10" fillId="0" borderId="1" pivotButton="0" quotePrefix="0" xfId="0"/>
    <xf numFmtId="0" fontId="12" fillId="7" borderId="0" applyAlignment="1" pivotButton="0" quotePrefix="0" xfId="0">
      <alignment horizontal="left"/>
    </xf>
    <xf numFmtId="0" fontId="13" fillId="0" borderId="0" pivotButton="0" quotePrefix="0" xfId="0"/>
    <xf numFmtId="169" fontId="8" fillId="0" borderId="0" pivotButton="0" quotePrefix="0" xfId="0"/>
    <xf numFmtId="0" fontId="14" fillId="0" borderId="0" pivotButton="0" quotePrefix="0" xfId="0"/>
    <xf numFmtId="0" fontId="15" fillId="0" borderId="0" pivotButton="0" quotePrefix="0" xfId="0"/>
    <xf numFmtId="2" fontId="8" fillId="0" borderId="2" pivotButton="0" quotePrefix="0" xfId="0"/>
    <xf numFmtId="166" fontId="4" fillId="0" borderId="3" pivotButton="0" quotePrefix="0" xfId="0"/>
    <xf numFmtId="0" fontId="13" fillId="0" borderId="0" pivotButton="0" quotePrefix="1" xfId="0"/>
    <xf numFmtId="164" fontId="17" fillId="0" borderId="0" pivotButton="0" quotePrefix="0" xfId="0"/>
    <xf numFmtId="168" fontId="18" fillId="0" borderId="1" pivotButton="0" quotePrefix="0" xfId="0"/>
    <xf numFmtId="164" fontId="11" fillId="0" borderId="1" pivotButton="0" quotePrefix="0" xfId="0"/>
    <xf numFmtId="170" fontId="14" fillId="0" borderId="0" pivotButton="0" quotePrefix="0" xfId="0"/>
    <xf numFmtId="1" fontId="8" fillId="8" borderId="0" pivotButton="0" quotePrefix="0" xfId="0"/>
    <xf numFmtId="0" fontId="16" fillId="0" borderId="0" pivotButton="0" quotePrefix="0" xfId="0"/>
    <xf numFmtId="171" fontId="8" fillId="0" borderId="1" pivotButton="0" quotePrefix="0" xfId="0"/>
    <xf numFmtId="171" fontId="8" fillId="8" borderId="1" pivotButton="0" quotePrefix="0" xfId="0"/>
    <xf numFmtId="171" fontId="8" fillId="0" borderId="0" pivotButton="0" quotePrefix="0" xfId="0"/>
    <xf numFmtId="172" fontId="8" fillId="8" borderId="1" pivotButton="0" quotePrefix="0" xfId="0"/>
    <xf numFmtId="171" fontId="10" fillId="0" borderId="1" pivotButton="0" quotePrefix="0" xfId="0"/>
    <xf numFmtId="171" fontId="4" fillId="0" borderId="1" pivotButton="0" quotePrefix="0" xfId="0"/>
    <xf numFmtId="171" fontId="18" fillId="4" borderId="1" pivotButton="0" quotePrefix="0" xfId="0"/>
    <xf numFmtId="171" fontId="16" fillId="0" borderId="0" pivotButton="0" quotePrefix="0" xfId="0"/>
    <xf numFmtId="171" fontId="11" fillId="0" borderId="1" pivotButton="0" quotePrefix="0" xfId="0"/>
    <xf numFmtId="171" fontId="10" fillId="6" borderId="1" pivotButton="0" quotePrefix="0" xfId="0"/>
    <xf numFmtId="0" fontId="19" fillId="0" borderId="0" pivotButton="0" quotePrefix="0" xfId="0"/>
    <xf numFmtId="0" fontId="20" fillId="0" borderId="0" pivotButton="0" quotePrefix="0" xfId="0"/>
    <xf numFmtId="0" fontId="5" fillId="2" borderId="0" applyAlignment="1" pivotButton="0" quotePrefix="0" xfId="0">
      <alignment horizontal="left" vertical="center" indent="1"/>
    </xf>
    <xf numFmtId="0" fontId="6" fillId="0" borderId="0" pivotButton="0" quotePrefix="0" xfId="0"/>
    <xf numFmtId="0" fontId="7" fillId="3" borderId="0" applyAlignment="1" pivotButton="0" quotePrefix="0" xfId="0">
      <alignment horizontal="left" vertical="center" indent="1"/>
    </xf>
    <xf numFmtId="0" fontId="9" fillId="0" borderId="0" applyAlignment="1" pivotButton="0" quotePrefix="0" xfId="0">
      <alignment horizontal="left" vertical="center" wrapText="1" indent="1"/>
    </xf>
    <xf numFmtId="0" fontId="9" fillId="0" borderId="0" applyAlignment="1" pivotButton="0" quotePrefix="1" xfId="0">
      <alignment horizontal="left" vertical="center" wrapText="1" indent="1"/>
    </xf>
    <xf numFmtId="0" fontId="9" fillId="0" borderId="0" applyAlignment="1" pivotButton="0" quotePrefix="0" xfId="0">
      <alignment vertical="top" wrapText="1"/>
    </xf>
    <xf numFmtId="169" fontId="8" fillId="0" borderId="0" pivotButton="0" quotePrefix="0" xfId="0"/>
    <xf numFmtId="0" fontId="21" fillId="9" borderId="0" applyAlignment="1" pivotButton="0" quotePrefix="0" xfId="0">
      <alignment horizontal="left"/>
    </xf>
    <xf numFmtId="0" fontId="23" fillId="0" borderId="0" pivotButton="0" quotePrefix="0" xfId="0"/>
    <xf numFmtId="0" fontId="24" fillId="10" borderId="0" applyAlignment="1" pivotButton="0" quotePrefix="0" xfId="0">
      <alignment horizontal="left"/>
    </xf>
    <xf numFmtId="0" fontId="22" fillId="0" borderId="0" pivotButton="0" quotePrefix="0" xfId="0"/>
    <xf numFmtId="0" fontId="25" fillId="0" borderId="0" pivotButton="0" quotePrefix="0" xfId="0"/>
    <xf numFmtId="0" fontId="26" fillId="0" borderId="0" applyAlignment="1" pivotButton="0" quotePrefix="0" xfId="0">
      <alignment horizontal="left" vertical="top"/>
    </xf>
    <xf numFmtId="173" fontId="27" fillId="0" borderId="0" pivotButton="0" quotePrefix="0" xfId="0"/>
    <xf numFmtId="174" fontId="27" fillId="11" borderId="0" pivotButton="0" quotePrefix="0" xfId="0"/>
    <xf numFmtId="174" fontId="27" fillId="0" borderId="0" pivotButton="0" quotePrefix="0" xfId="0"/>
    <xf numFmtId="174" fontId="22" fillId="0" borderId="0" pivotButton="0" quotePrefix="0" xfId="0"/>
    <xf numFmtId="175" fontId="27" fillId="11" borderId="0" pivotButton="0" quotePrefix="0" xfId="0"/>
    <xf numFmtId="0" fontId="28" fillId="0" borderId="0" pivotButton="0" quotePrefix="0" xfId="0"/>
    <xf numFmtId="0" fontId="24" fillId="10" borderId="0" pivotButton="0" quotePrefix="0" xfId="0"/>
    <xf numFmtId="176" fontId="27" fillId="0" borderId="0" pivotButton="0" quotePrefix="0" xfId="0"/>
    <xf numFmtId="175" fontId="22" fillId="0" borderId="0" pivotButton="0" quotePrefix="0" xfId="0"/>
    <xf numFmtId="173" fontId="22" fillId="0" borderId="0" pivotButton="0" quotePrefix="0" xfId="0"/>
    <xf numFmtId="173" fontId="28" fillId="0" borderId="0" pivotButton="0" quotePrefix="0" xfId="0"/>
    <xf numFmtId="177" fontId="29" fillId="0" borderId="0" pivotButton="0" quotePrefix="0" xfId="0"/>
    <xf numFmtId="177" fontId="22" fillId="0" borderId="0" pivotButton="0" quotePrefix="0" xfId="0"/>
    <xf numFmtId="178" fontId="22" fillId="0" borderId="0" pivotButton="0" quotePrefix="0" xfId="0"/>
    <xf numFmtId="0" fontId="24" fillId="10" borderId="1" applyAlignment="1" pivotButton="0" quotePrefix="0" xfId="0">
      <alignment horizontal="left" vertical="center" indent="1"/>
    </xf>
    <xf numFmtId="0" fontId="24" fillId="10" borderId="1" applyAlignment="1" pivotButton="0" quotePrefix="0" xfId="0">
      <alignment horizontal="center" vertical="center"/>
    </xf>
    <xf numFmtId="0" fontId="30" fillId="0" borderId="0" pivotButton="0" quotePrefix="0" xfId="0"/>
    <xf numFmtId="175" fontId="22" fillId="0" borderId="1" pivotButton="0" quotePrefix="0" xfId="0"/>
    <xf numFmtId="173" fontId="22" fillId="0" borderId="1" pivotButton="0" quotePrefix="0" xfId="0"/>
    <xf numFmtId="173" fontId="28" fillId="0" borderId="1" pivotButton="0" quotePrefix="0" xfId="0"/>
    <xf numFmtId="173" fontId="31" fillId="0" borderId="1" pivotButton="0" quotePrefix="0" xfId="0"/>
    <xf numFmtId="0" fontId="22" fillId="0" borderId="0" applyAlignment="1" pivotButton="0" quotePrefix="0" xfId="0">
      <alignment horizontal="left" vertical="center" indent="1"/>
    </xf>
    <xf numFmtId="0" fontId="30" fillId="0" borderId="0" applyAlignment="1" pivotButton="0" quotePrefix="0" xfId="0">
      <alignment vertical="center" wrapText="1"/>
    </xf>
    <xf numFmtId="174" fontId="22" fillId="0" borderId="1" pivotButton="0" quotePrefix="0" xfId="0"/>
    <xf numFmtId="171" fontId="30" fillId="0" borderId="0" pivotButton="0" quotePrefix="0" xfId="0"/>
    <xf numFmtId="0" fontId="30" fillId="0" borderId="0" applyAlignment="1" pivotButton="0" quotePrefix="0" xfId="0">
      <alignment horizontal="left"/>
    </xf>
    <xf numFmtId="0" fontId="32" fillId="0" borderId="0" applyAlignment="1" pivotButton="0" quotePrefix="0" xfId="0">
      <alignment vertical="top"/>
    </xf>
    <xf numFmtId="170" fontId="14" fillId="0" borderId="0" pivotButton="0" quotePrefix="0" xfId="0"/>
    <xf numFmtId="179" fontId="22" fillId="0" borderId="0" pivotButton="0" quotePrefix="0" xfId="0"/>
    <xf numFmtId="168" fontId="22" fillId="0" borderId="0" pivotButton="0" quotePrefix="0" xfId="0"/>
    <xf numFmtId="0" fontId="33" fillId="0" borderId="0" pivotButton="0" quotePrefix="0" xfId="0"/>
    <xf numFmtId="0" fontId="26" fillId="0" borderId="0" pivotButton="0" quotePrefix="0" xfId="0"/>
    <xf numFmtId="0" fontId="26" fillId="0" borderId="0" applyAlignment="1" pivotButton="0" quotePrefix="0" xfId="0">
      <alignment horizontal="left" vertical="top"/>
    </xf>
    <xf numFmtId="1" fontId="22" fillId="0" borderId="0" pivotButton="0" quotePrefix="0" xfId="0"/>
    <xf numFmtId="177" fontId="27" fillId="0" borderId="0" pivotButton="0" quotePrefix="0" xfId="0"/>
    <xf numFmtId="177" fontId="28" fillId="0" borderId="0" pivotButton="0" quotePrefix="0" xfId="0"/>
    <xf numFmtId="0" fontId="30" fillId="0" borderId="0" applyAlignment="1" pivotButton="0" quotePrefix="0" xfId="0">
      <alignment horizontal="left" vertical="top"/>
    </xf>
    <xf numFmtId="0" fontId="22" fillId="0" borderId="0" applyAlignment="1" pivotButton="0" quotePrefix="0" xfId="0">
      <alignment horizontal="left"/>
    </xf>
    <xf numFmtId="174" fontId="22" fillId="0" borderId="0" applyAlignment="1" pivotButton="0" quotePrefix="0" xfId="0">
      <alignment horizontal="left"/>
    </xf>
    <xf numFmtId="168" fontId="30" fillId="0" borderId="0" pivotButton="0" quotePrefix="0" xfId="0"/>
    <xf numFmtId="173" fontId="24" fillId="10" borderId="0" applyAlignment="1" pivotButton="0" quotePrefix="0" xfId="0">
      <alignment horizontal="left"/>
    </xf>
    <xf numFmtId="177" fontId="30" fillId="0" borderId="0" pivotButton="0" quotePrefix="0" xfId="0"/>
    <xf numFmtId="177" fontId="29" fillId="0" borderId="0" applyAlignment="1" pivotButton="0" quotePrefix="0" xfId="0">
      <alignment horizontal="left"/>
    </xf>
    <xf numFmtId="0" fontId="30" fillId="0" borderId="0" applyAlignment="1" pivotButton="0" quotePrefix="0" xfId="0">
      <alignment vertical="top"/>
    </xf>
    <xf numFmtId="0" fontId="32" fillId="0" borderId="0" applyAlignment="1" pivotButton="0" quotePrefix="0" xfId="0">
      <alignment vertical="top"/>
    </xf>
    <xf numFmtId="0" fontId="26" fillId="0" borderId="0" applyAlignment="1" pivotButton="0" quotePrefix="0" xfId="0">
      <alignment horizontal="left" vertical="top"/>
    </xf>
    <xf numFmtId="173" fontId="27" fillId="11" borderId="0" pivotButton="0" quotePrefix="0" xfId="0"/>
    <xf numFmtId="175" fontId="31" fillId="0" borderId="0" pivotButton="0" quotePrefix="0" xfId="0"/>
    <xf numFmtId="173" fontId="31" fillId="0" borderId="0" pivotButton="0" quotePrefix="0" xfId="0"/>
    <xf numFmtId="0" fontId="28" fillId="0" borderId="0" applyAlignment="1" pivotButton="0" quotePrefix="0" xfId="0">
      <alignment horizontal="left" vertical="center" indent="1"/>
    </xf>
    <xf numFmtId="174" fontId="30" fillId="0" borderId="0" applyAlignment="1" pivotButton="0" quotePrefix="0" xfId="0">
      <alignment horizontal="left"/>
    </xf>
    <xf numFmtId="178" fontId="30" fillId="0" borderId="0" pivotButton="0" quotePrefix="0" xfId="0"/>
    <xf numFmtId="177" fontId="29" fillId="0" borderId="0" applyAlignment="1" pivotButton="0" quotePrefix="0" xfId="0">
      <alignment vertical="top"/>
    </xf>
    <xf numFmtId="0" fontId="32" fillId="0" borderId="0" applyAlignment="1" pivotButton="0" quotePrefix="0" xfId="0">
      <alignment vertical="top"/>
    </xf>
    <xf numFmtId="0" fontId="26" fillId="0" borderId="0" applyAlignment="1" pivotButton="0" quotePrefix="0" xfId="0">
      <alignment horizontal="left" vertical="top"/>
    </xf>
    <xf numFmtId="173" fontId="22" fillId="0" borderId="0" applyAlignment="1" pivotButton="0" quotePrefix="0" xfId="0">
      <alignment horizontal="left"/>
    </xf>
    <xf numFmtId="0" fontId="32" fillId="0" borderId="0" applyAlignment="1" pivotButton="0" quotePrefix="0" xfId="0">
      <alignment vertical="top"/>
    </xf>
    <xf numFmtId="0" fontId="26" fillId="0" borderId="0" applyAlignment="1" pivotButton="0" quotePrefix="0" xfId="0">
      <alignment horizontal="left" vertical="top"/>
    </xf>
    <xf numFmtId="176" fontId="30" fillId="0" borderId="0" pivotButton="0" quotePrefix="0" xfId="0"/>
    <xf numFmtId="173" fontId="30" fillId="0" borderId="0" pivotButton="0" quotePrefix="0" xfId="0"/>
    <xf numFmtId="179" fontId="30"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6"/>
      <rgbColor rgb="FFF0EFEA"/>
      <rgbColor rgb="FF660066"/>
      <rgbColor rgb="FFFF8080"/>
      <rgbColor rgb="FF0066CC"/>
      <rgbColor rgb="FFD9D6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C9A24B"/>
      <rgbColor rgb="FF003366"/>
      <rgbColor rgb="FF339966"/>
      <rgbColor rgb="FF003300"/>
      <rgbColor rgb="FF1B2A1F"/>
      <rgbColor rgb="FF993300"/>
      <rgbColor rgb="FF993366"/>
      <rgbColor rgb="FF333399"/>
      <rgbColor rgb="FF2E403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1"/>
  <sheetViews>
    <sheetView showGridLines="0" zoomScaleNormal="100" workbookViewId="0">
      <selection activeCell="B27" sqref="B27"/>
    </sheetView>
  </sheetViews>
  <sheetFormatPr baseColWidth="10" defaultColWidth="8.6640625" defaultRowHeight="15"/>
  <cols>
    <col width="2" customWidth="1" min="1" max="1"/>
    <col width="92" customWidth="1" min="2" max="2"/>
  </cols>
  <sheetData>
    <row r="2" ht="20" customHeight="1">
      <c r="B2" s="1" t="inlineStr">
        <is>
          <t>GET LUCKY GOLF  ×  ERNIE ELS</t>
        </is>
      </c>
    </row>
    <row r="3">
      <c r="B3" s="2" t="inlineStr">
        <is>
          <t>Valuation bridge — how the R8m / 15% round gets to the exit vision</t>
        </is>
      </c>
    </row>
    <row r="6">
      <c r="B6" s="3" t="inlineStr">
        <is>
          <t>WHAT THIS MODEL DOES</t>
        </is>
      </c>
    </row>
    <row r="7">
      <c r="B7" s="4" t="inlineStr">
        <is>
          <t>This workbook reverse-engineers the headline valuations in the pitch (R53.3m today -&gt; R147m in 2029 -&gt; R807m exit; model shown in $ at FX 18.5).</t>
        </is>
      </c>
    </row>
    <row r="8">
      <c r="B8" s="4" t="inlineStr">
        <is>
          <t>It shows the subscriber growth, recurring revenue, margin and exit-multiple assumptions that have to hold for those</t>
        </is>
      </c>
    </row>
    <row r="9">
      <c r="B9" s="4" t="inlineStr">
        <is>
          <t>numbers to be real — so the curve looks earned, not asserted. Every figure you can change is colour-coded.</t>
        </is>
      </c>
    </row>
    <row r="10">
      <c r="B10" s="4" t="n"/>
    </row>
    <row r="11">
      <c r="B11" s="3" t="inlineStr">
        <is>
          <t>HOW TO READ THE COLOURS (standard financial-model convention)</t>
        </is>
      </c>
    </row>
    <row r="12">
      <c r="B12" s="4" t="inlineStr">
        <is>
          <t xml:space="preserve">   BLUE text      = an input / assumption you can change. These drive everything else.</t>
        </is>
      </c>
    </row>
    <row r="13">
      <c r="B13" s="4" t="inlineStr">
        <is>
          <t xml:space="preserve">   BLACK text     = a formula. Do not type over these; they recalculate.</t>
        </is>
      </c>
    </row>
    <row r="14">
      <c r="B14" s="4" t="inlineStr">
        <is>
          <t xml:space="preserve">   GREEN text     = a figure pulled from another tab in this workbook.</t>
        </is>
      </c>
    </row>
    <row r="15">
      <c r="B15" s="4" t="inlineStr">
        <is>
          <t xml:space="preserve">   Yellow shading = a key assumption that is based on histroric average. </t>
        </is>
      </c>
    </row>
    <row r="16">
      <c r="B16" s="4" t="n"/>
    </row>
    <row r="17">
      <c r="B17" s="3" t="inlineStr">
        <is>
          <t>THE SEVEN TABS</t>
        </is>
      </c>
    </row>
    <row r="18">
      <c r="B18" s="4" t="inlineStr">
        <is>
          <t xml:space="preserve">   1. Assumptions   — stress test for diffirent circumstances. </t>
        </is>
      </c>
    </row>
    <row r="19">
      <c r="B19" s="4" t="inlineStr">
        <is>
          <t xml:space="preserve">   2. Build (Monthly)— 36-month subscriber &amp; revenue build, SA today through the 3-year plan.</t>
        </is>
      </c>
    </row>
    <row r="20">
      <c r="B20" s="4" t="inlineStr">
        <is>
          <t xml:space="preserve">   3. Valuation      — annual P&amp;L summary + the R53.3m / R147m / R807m bridge, revenue reported by stream.</t>
        </is>
      </c>
    </row>
    <row r="21">
      <c r="B21" s="4" t="inlineStr">
        <is>
          <t xml:space="preserve">   4. Simulator      — simulator stream: unit economics, attach ramp and the 2029 adoption range.</t>
        </is>
      </c>
    </row>
    <row r="22">
      <c r="B22" s="4" t="inlineStr">
        <is>
          <t xml:space="preserve">   5. Sponsorship    — the contracted Santam deal and the per-territory anchor partners that repeat it.</t>
        </is>
      </c>
    </row>
    <row r="23">
      <c r="B23" s="3" t="inlineStr">
        <is>
          <t xml:space="preserve">   6. Upsells        — the in-play menu, attach rates and the revenue it adds to attempts already modelled.</t>
        </is>
      </c>
    </row>
    <row r="24">
      <c r="B24" s="4" t="inlineStr">
        <is>
          <t xml:space="preserve">   7. Ernie's Stake  — what the 5% founding stake is worth at each milestone.</t>
        </is>
      </c>
    </row>
    <row r="25">
      <c r="B25" s="4" t="n"/>
    </row>
    <row r="26">
      <c r="B26" s="4" t="n"/>
    </row>
    <row r="27">
      <c r="B27" s="4" t="n"/>
    </row>
    <row r="28">
      <c r="B28" s="4" t="n"/>
    </row>
    <row r="29">
      <c r="B29" s="4" t="n"/>
    </row>
    <row r="30">
      <c r="B30" s="4" t="n"/>
    </row>
    <row r="31">
      <c r="B31" s="4"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F36"/>
  <sheetViews>
    <sheetView showGridLines="0" topLeftCell="A18" zoomScale="143" zoomScaleNormal="100" workbookViewId="0">
      <selection activeCell="D22" sqref="D22:F22"/>
    </sheetView>
  </sheetViews>
  <sheetFormatPr baseColWidth="10" defaultColWidth="8.6640625" defaultRowHeight="15"/>
  <cols>
    <col width="2" customWidth="1" min="1" max="1"/>
    <col width="46" customWidth="1" min="2" max="2"/>
    <col width="16" customWidth="1" min="3" max="5"/>
    <col width="40" customWidth="1" min="6" max="6"/>
  </cols>
  <sheetData>
    <row r="2" ht="30" customHeight="1">
      <c r="B2" s="48" t="inlineStr">
        <is>
          <t xml:space="preserve">ASSUMPTIONS  </t>
        </is>
      </c>
    </row>
    <row r="3">
      <c r="B3" s="49" t="inlineStr">
        <is>
          <t>Blue = change me.  Yellow = confirm  Black = calculated.</t>
        </is>
      </c>
    </row>
    <row r="5" ht="19.5" customHeight="1">
      <c r="B5" s="50" t="inlineStr">
        <is>
          <t xml:space="preserve">DEAL TERMS </t>
        </is>
      </c>
    </row>
    <row r="6" ht="15" customHeight="1">
      <c r="B6" s="4" t="inlineStr">
        <is>
          <t>Ernie founding equity stake</t>
        </is>
      </c>
      <c r="C6" s="5" t="n">
        <v>0.05</v>
      </c>
      <c r="D6" s="51" t="inlineStr">
        <is>
          <t>5% for name &amp; story, no cash</t>
        </is>
      </c>
    </row>
    <row r="7" ht="15" customHeight="1">
      <c r="B7" s="4" t="inlineStr">
        <is>
          <t>Post-money valuation today ($)</t>
        </is>
      </c>
      <c r="C7" s="36">
        <f>53333333/Assumptions!$C$10</f>
        <v/>
      </c>
      <c r="D7" s="52" t="inlineStr">
        <is>
          <t>Today's valuation floor (pitch R53.3m — R8m for 15%)</t>
        </is>
      </c>
    </row>
    <row r="8" ht="15" customHeight="1">
      <c r="B8" s="4" t="inlineStr">
        <is>
          <t>Subscription price (USD / month)</t>
        </is>
      </c>
      <c r="C8" s="6" t="n">
        <v>10</v>
      </c>
      <c r="D8" s="51" t="inlineStr">
        <is>
          <t>$10/mo unlocks the challenge</t>
        </is>
      </c>
    </row>
    <row r="9" ht="15" customHeight="1">
      <c r="B9" s="4" t="inlineStr">
        <is>
          <t>Hole-in-one prize (USD)</t>
        </is>
      </c>
      <c r="C9" s="6" t="n">
        <v>10000</v>
      </c>
      <c r="D9" s="51" t="inlineStr">
        <is>
          <t>insured payout per verified ace</t>
        </is>
      </c>
    </row>
    <row r="10" ht="15" customHeight="1">
      <c r="B10" s="4" t="inlineStr">
        <is>
          <t>ZAR per USD</t>
        </is>
      </c>
      <c r="C10" s="7" t="n">
        <v>18.5</v>
      </c>
      <c r="D10" s="51" t="inlineStr">
        <is>
          <t>FX assumption — confirm rate to use</t>
        </is>
      </c>
    </row>
    <row r="12" ht="19.5" customHeight="1">
      <c r="B12" s="50" t="inlineStr">
        <is>
          <t xml:space="preserve">OPERATING TODAY  </t>
        </is>
      </c>
    </row>
    <row r="13" ht="15" customHeight="1">
      <c r="B13" s="4" t="inlineStr">
        <is>
          <t>Paying subscribers at month 0</t>
        </is>
      </c>
      <c r="C13" s="8" t="n">
        <v>2000</v>
      </c>
      <c r="D13" s="51" t="inlineStr">
        <is>
          <t>Current subscribers</t>
        </is>
      </c>
    </row>
    <row r="14" ht="15" customHeight="1">
      <c r="B14" s="4" t="inlineStr">
        <is>
          <t>Monthly subscriber growth — Year 1</t>
        </is>
      </c>
      <c r="C14" s="9" t="n">
        <v>0.105</v>
      </c>
      <c r="D14" s="51" t="inlineStr">
        <is>
          <t>The Ernie affect</t>
        </is>
      </c>
    </row>
    <row r="15" ht="15" customHeight="1">
      <c r="B15" s="4" t="inlineStr">
        <is>
          <t>Monthly subscriber growth — Year 2</t>
        </is>
      </c>
      <c r="C15" s="9" t="n">
        <v>0.08</v>
      </c>
      <c r="D15" s="51" t="inlineStr">
        <is>
          <t>Tapers as base grows; SA + first intl</t>
        </is>
      </c>
    </row>
    <row r="16" ht="15" customHeight="1">
      <c r="B16" s="4" t="inlineStr">
        <is>
          <t>Monthly subscriber growth — Year 3</t>
        </is>
      </c>
      <c r="C16" s="9" t="n">
        <v>0.07000000000000001</v>
      </c>
      <c r="D16" s="51" t="inlineStr">
        <is>
          <t>Global markets open (UK/US/ME/Asia)</t>
        </is>
      </c>
    </row>
    <row r="17" ht="15" customHeight="1">
      <c r="B17" s="4" t="inlineStr">
        <is>
          <t>Monthly churn rate</t>
        </is>
      </c>
      <c r="C17" s="9" t="n">
        <v>0.04</v>
      </c>
      <c r="D17" s="51" t="inlineStr">
        <is>
          <t>% of base lost per month</t>
        </is>
      </c>
    </row>
    <row r="18" ht="15" customHeight="1">
      <c r="B18" s="4" t="inlineStr">
        <is>
          <t>CAC ($/sub)</t>
        </is>
      </c>
      <c r="C18" s="39" t="n">
        <v>12</v>
      </c>
      <c r="D18" s="52" t="inlineStr">
        <is>
          <t>$/sub acquisition target (pitch R225)</t>
        </is>
      </c>
    </row>
    <row r="20" ht="19.5" customHeight="1">
      <c r="B20" s="50" t="inlineStr">
        <is>
          <t xml:space="preserve">ECONOMICS  </t>
        </is>
      </c>
    </row>
    <row r="21" ht="15" customHeight="1">
      <c r="B21" s="4" t="inlineStr">
        <is>
          <t>Gross margin</t>
        </is>
      </c>
      <c r="C21" s="5" t="n">
        <v>0.66</v>
      </c>
      <c r="D21" s="51" t="inlineStr">
        <is>
          <t>66% to Get Lucky</t>
        </is>
      </c>
    </row>
    <row r="22" ht="15" customHeight="1">
      <c r="B22" s="4" t="inlineStr">
        <is>
          <t>On-course marketing (% of revenue)</t>
        </is>
      </c>
      <c r="C22" s="5" t="n">
        <v>0.1</v>
      </c>
      <c r="D22" s="51" t="inlineStr">
        <is>
          <t>10% on-course marketing</t>
        </is>
      </c>
    </row>
    <row r="23" ht="15" customHeight="1">
      <c r="B23" s="4" t="inlineStr">
        <is>
          <t>Insured prize risk (% of revenue)</t>
        </is>
      </c>
      <c r="C23" s="5" t="n">
        <v>0.24</v>
      </c>
      <c r="D23" s="51" t="inlineStr">
        <is>
          <t>24% premium for full (100%) cover</t>
        </is>
      </c>
    </row>
    <row r="24" ht="15" customHeight="1">
      <c r="B24" s="4" t="inlineStr">
        <is>
          <t>Per-round ace probability</t>
        </is>
      </c>
      <c r="C24" s="10" t="n">
        <v>8.000000000000001e-05</v>
      </c>
      <c r="D24" s="51" t="inlineStr">
        <is>
          <t>≈1/12,500 per attempt (amateur odds)</t>
        </is>
      </c>
    </row>
    <row r="25" ht="15" customHeight="1">
      <c r="B25" s="4" t="inlineStr">
        <is>
          <t>Base operating cost / month today ($)</t>
        </is>
      </c>
      <c r="C25" s="37">
        <f>450000/Assumptions!$C$10</f>
        <v/>
      </c>
      <c r="D25" s="52" t="inlineStr">
        <is>
          <t>Funded monthly opex base (R450k/mo) — team, platform and market-entry budget</t>
        </is>
      </c>
    </row>
    <row r="26">
      <c r="B26" s="4" t="inlineStr">
        <is>
          <t>Ops scaling vs subscribers (0=flat, 1=linear)</t>
        </is>
      </c>
      <c r="C26" s="27" t="n">
        <v>0.68</v>
      </c>
      <c r="D26" s="23" t="inlineStr">
        <is>
          <t>0.68 — costs scale with the base as four streams and four territories come online</t>
        </is>
      </c>
    </row>
    <row r="27" ht="19.5" customHeight="1">
      <c r="B27" s="50" t="inlineStr">
        <is>
          <t xml:space="preserve">VALUATION </t>
        </is>
      </c>
    </row>
    <row r="28" ht="15" customHeight="1">
      <c r="B28" s="4" t="inlineStr">
        <is>
          <t>Valuation multiple — ARR (today)</t>
        </is>
      </c>
      <c r="C28" s="11" t="n">
        <v>0</v>
      </c>
      <c r="D28" s="51" t="inlineStr">
        <is>
          <t>Solved below to hit $2.16m floor</t>
        </is>
      </c>
    </row>
    <row r="29" ht="15" customHeight="1">
      <c r="B29" s="4" t="inlineStr">
        <is>
          <t>Valuation multiple — ARR (2028 target)</t>
        </is>
      </c>
      <c r="C29" s="12" t="n">
        <v>2.5</v>
      </c>
      <c r="D29" s="51" t="inlineStr">
        <is>
          <t>Flat revenue multiple — same at every forward milestone</t>
        </is>
      </c>
    </row>
    <row r="30" ht="15" customHeight="1">
      <c r="B30" s="4" t="inlineStr">
        <is>
          <t>Valuation multiple — ARR (2032 exit)</t>
        </is>
      </c>
      <c r="C30" s="12" t="n">
        <v>2.5</v>
      </c>
      <c r="D30" s="51" t="inlineStr">
        <is>
          <t>Flat revenue multiple — no expansion assumed at exit</t>
        </is>
      </c>
    </row>
    <row r="31" ht="15" customHeight="1">
      <c r="B31" s="4" t="inlineStr">
        <is>
          <t>Pitch valuation 2028 ($)</t>
        </is>
      </c>
      <c r="C31" s="36">
        <f>133877838/Assumptions!$C$10</f>
        <v/>
      </c>
      <c r="D31" s="52" t="inlineStr">
        <is>
          <t>Pitch milestone — 3-yr plan (R133.9m at 2.5x revenue)</t>
        </is>
      </c>
    </row>
    <row r="32" ht="15" customHeight="1">
      <c r="B32" s="4" t="inlineStr">
        <is>
          <t>Pitch valuation 2032 ($)</t>
        </is>
      </c>
      <c r="C32" s="36">
        <f>336424442/Assumptions!$C$10</f>
        <v/>
      </c>
      <c r="D32" s="52" t="inlineStr">
        <is>
          <t>Pitch exit vision (R336m at 2.5x revenue)</t>
        </is>
      </c>
    </row>
    <row r="33">
      <c r="B33" s="22" t="inlineStr">
        <is>
          <t>SPONSORSHIP &amp; EXIT TRAJECTORY</t>
        </is>
      </c>
    </row>
    <row r="34">
      <c r="B34" s="4" t="inlineStr">
        <is>
          <t>Sponsorship revenue today ($/yr)</t>
        </is>
      </c>
      <c r="C34" s="38">
        <f>3000000/Assumptions!$C$10</f>
        <v/>
      </c>
      <c r="D34" s="29" t="inlineStr">
        <is>
          <t>Pitch baseline (R3m/yr)</t>
        </is>
      </c>
    </row>
    <row r="35">
      <c r="B35" s="4" t="inlineStr">
        <is>
          <t>Long-term subscriber growth (Y4–Y7, monthly)</t>
        </is>
      </c>
      <c r="C35" s="54" t="n">
        <v>0.018</v>
      </c>
      <c r="D35" s="23" t="inlineStr">
        <is>
          <t>To land 2032 model on $27m exit vision</t>
        </is>
      </c>
    </row>
    <row r="36">
      <c r="B36" s="4" t="inlineStr">
        <is>
          <t>Rounds per subscriber per month</t>
        </is>
      </c>
      <c r="C36" s="34" t="n">
        <v>4</v>
      </c>
      <c r="D36" s="23" t="inlineStr">
        <is>
          <t>On-course attempts at the ace</t>
        </is>
      </c>
    </row>
  </sheetData>
  <mergeCells count="27">
    <mergeCell ref="D13:F13"/>
    <mergeCell ref="D32:F32"/>
    <mergeCell ref="B3:F3"/>
    <mergeCell ref="D17:F17"/>
    <mergeCell ref="D7:F7"/>
    <mergeCell ref="D16:F16"/>
    <mergeCell ref="B27:F27"/>
    <mergeCell ref="B12:F12"/>
    <mergeCell ref="D28:F28"/>
    <mergeCell ref="B2:F2"/>
    <mergeCell ref="D18:F18"/>
    <mergeCell ref="D9:F9"/>
    <mergeCell ref="D30:F30"/>
    <mergeCell ref="D25:F25"/>
    <mergeCell ref="D8:F8"/>
    <mergeCell ref="D15:F15"/>
    <mergeCell ref="D24:F24"/>
    <mergeCell ref="D14:F14"/>
    <mergeCell ref="D29:F29"/>
    <mergeCell ref="D23:F23"/>
    <mergeCell ref="D10:F10"/>
    <mergeCell ref="B20:F20"/>
    <mergeCell ref="D31:F31"/>
    <mergeCell ref="D22:F22"/>
    <mergeCell ref="B5:F5"/>
    <mergeCell ref="D21:F21"/>
    <mergeCell ref="D6:F6"/>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AL14"/>
  <sheetViews>
    <sheetView showGridLines="0" zoomScaleNormal="100" workbookViewId="0">
      <selection activeCell="A17" sqref="A17:XFD17"/>
    </sheetView>
  </sheetViews>
  <sheetFormatPr baseColWidth="10" defaultColWidth="8.6640625" defaultRowHeight="15"/>
  <cols>
    <col width="2" customWidth="1" min="1" max="1"/>
    <col width="30" customWidth="1" min="2" max="2"/>
    <col width="11" customWidth="1" min="3" max="38"/>
  </cols>
  <sheetData>
    <row r="2" ht="27.75" customHeight="1">
      <c r="B2" s="48" t="inlineStr">
        <is>
          <t>36-MONTH BUILD</t>
        </is>
      </c>
    </row>
    <row r="3">
      <c r="B3" s="49" t="inlineStr">
        <is>
          <t>Subscriber &amp; recurring-revenue build. Growth rate steps by year (see Assumptions).</t>
        </is>
      </c>
    </row>
    <row r="5">
      <c r="B5" s="13" t="inlineStr">
        <is>
          <t>Month</t>
        </is>
      </c>
      <c r="C5" s="14" t="n">
        <v>1</v>
      </c>
      <c r="D5" s="14" t="n">
        <v>2</v>
      </c>
      <c r="E5" s="14" t="n">
        <v>3</v>
      </c>
      <c r="F5" s="14" t="n">
        <v>4</v>
      </c>
      <c r="G5" s="14" t="n">
        <v>5</v>
      </c>
      <c r="H5" s="14" t="n">
        <v>6</v>
      </c>
      <c r="I5" s="14" t="n">
        <v>7</v>
      </c>
      <c r="J5" s="14" t="n">
        <v>8</v>
      </c>
      <c r="K5" s="14" t="n">
        <v>9</v>
      </c>
      <c r="L5" s="14" t="n">
        <v>10</v>
      </c>
      <c r="M5" s="14" t="n">
        <v>11</v>
      </c>
      <c r="N5" s="14" t="n">
        <v>12</v>
      </c>
      <c r="O5" s="14" t="n">
        <v>13</v>
      </c>
      <c r="P5" s="14" t="n">
        <v>14</v>
      </c>
      <c r="Q5" s="14" t="n">
        <v>15</v>
      </c>
      <c r="R5" s="14" t="n">
        <v>16</v>
      </c>
      <c r="S5" s="14" t="n">
        <v>17</v>
      </c>
      <c r="T5" s="14" t="n">
        <v>18</v>
      </c>
      <c r="U5" s="14" t="n">
        <v>19</v>
      </c>
      <c r="V5" s="14" t="n">
        <v>20</v>
      </c>
      <c r="W5" s="14" t="n">
        <v>21</v>
      </c>
      <c r="X5" s="14" t="n">
        <v>22</v>
      </c>
      <c r="Y5" s="14" t="n">
        <v>23</v>
      </c>
      <c r="Z5" s="14" t="n">
        <v>24</v>
      </c>
      <c r="AA5" s="14" t="n">
        <v>25</v>
      </c>
      <c r="AB5" s="14" t="n">
        <v>26</v>
      </c>
      <c r="AC5" s="14" t="n">
        <v>27</v>
      </c>
      <c r="AD5" s="14" t="n">
        <v>28</v>
      </c>
      <c r="AE5" s="14" t="n">
        <v>29</v>
      </c>
      <c r="AF5" s="14" t="n">
        <v>30</v>
      </c>
      <c r="AG5" s="14" t="n">
        <v>31</v>
      </c>
      <c r="AH5" s="14" t="n">
        <v>32</v>
      </c>
      <c r="AI5" s="14" t="n">
        <v>33</v>
      </c>
      <c r="AJ5" s="14" t="n">
        <v>34</v>
      </c>
      <c r="AK5" s="14" t="n">
        <v>35</v>
      </c>
      <c r="AL5" s="14" t="n">
        <v>36</v>
      </c>
    </row>
    <row r="6">
      <c r="B6" s="4" t="inlineStr">
        <is>
          <t>Opening subscribers</t>
        </is>
      </c>
      <c r="C6" s="15">
        <f>Assumptions!$C$13</f>
        <v/>
      </c>
      <c r="D6" s="15">
        <f>C10</f>
        <v/>
      </c>
      <c r="E6" s="15">
        <f>D10</f>
        <v/>
      </c>
      <c r="F6" s="15">
        <f>E10</f>
        <v/>
      </c>
      <c r="G6" s="15">
        <f>F10</f>
        <v/>
      </c>
      <c r="H6" s="15">
        <f>G10</f>
        <v/>
      </c>
      <c r="I6" s="15">
        <f>H10</f>
        <v/>
      </c>
      <c r="J6" s="15">
        <f>I10</f>
        <v/>
      </c>
      <c r="K6" s="15">
        <f>J10</f>
        <v/>
      </c>
      <c r="L6" s="15">
        <f>K10</f>
        <v/>
      </c>
      <c r="M6" s="15">
        <f>L10</f>
        <v/>
      </c>
      <c r="N6" s="15">
        <f>M10</f>
        <v/>
      </c>
      <c r="O6" s="15">
        <f>N10</f>
        <v/>
      </c>
      <c r="P6" s="15">
        <f>O10</f>
        <v/>
      </c>
      <c r="Q6" s="15">
        <f>P10</f>
        <v/>
      </c>
      <c r="R6" s="15">
        <f>Q10</f>
        <v/>
      </c>
      <c r="S6" s="15">
        <f>R10</f>
        <v/>
      </c>
      <c r="T6" s="15">
        <f>S10</f>
        <v/>
      </c>
      <c r="U6" s="15">
        <f>T10</f>
        <v/>
      </c>
      <c r="V6" s="15">
        <f>U10</f>
        <v/>
      </c>
      <c r="W6" s="15">
        <f>V10</f>
        <v/>
      </c>
      <c r="X6" s="15">
        <f>W10</f>
        <v/>
      </c>
      <c r="Y6" s="15">
        <f>X10</f>
        <v/>
      </c>
      <c r="Z6" s="15">
        <f>Y10</f>
        <v/>
      </c>
      <c r="AA6" s="15">
        <f>Z10</f>
        <v/>
      </c>
      <c r="AB6" s="15">
        <f>AA10</f>
        <v/>
      </c>
      <c r="AC6" s="15">
        <f>AB10</f>
        <v/>
      </c>
      <c r="AD6" s="15">
        <f>AC10</f>
        <v/>
      </c>
      <c r="AE6" s="15">
        <f>AD10</f>
        <v/>
      </c>
      <c r="AF6" s="15">
        <f>AE10</f>
        <v/>
      </c>
      <c r="AG6" s="15">
        <f>AF10</f>
        <v/>
      </c>
      <c r="AH6" s="15">
        <f>AG10</f>
        <v/>
      </c>
      <c r="AI6" s="15">
        <f>AH10</f>
        <v/>
      </c>
      <c r="AJ6" s="15">
        <f>AI10</f>
        <v/>
      </c>
      <c r="AK6" s="15">
        <f>AJ10</f>
        <v/>
      </c>
      <c r="AL6" s="15">
        <f>AK10</f>
        <v/>
      </c>
    </row>
    <row r="7">
      <c r="B7" s="4" t="inlineStr">
        <is>
          <t>Net growth rate (mo)</t>
        </is>
      </c>
      <c r="C7" s="30">
        <f>Assumptions!$C$14</f>
        <v/>
      </c>
      <c r="D7" s="30">
        <f>Assumptions!$C$14</f>
        <v/>
      </c>
      <c r="E7" s="30">
        <f>Assumptions!$C$14</f>
        <v/>
      </c>
      <c r="F7" s="30">
        <f>Assumptions!$C$14</f>
        <v/>
      </c>
      <c r="G7" s="30">
        <f>Assumptions!$C$14</f>
        <v/>
      </c>
      <c r="H7" s="30">
        <f>Assumptions!$C$14</f>
        <v/>
      </c>
      <c r="I7" s="30">
        <f>Assumptions!$C$14</f>
        <v/>
      </c>
      <c r="J7" s="30">
        <f>Assumptions!$C$14</f>
        <v/>
      </c>
      <c r="K7" s="30">
        <f>Assumptions!$C$14</f>
        <v/>
      </c>
      <c r="L7" s="30">
        <f>Assumptions!$C$14</f>
        <v/>
      </c>
      <c r="M7" s="30">
        <f>Assumptions!$C$14</f>
        <v/>
      </c>
      <c r="N7" s="30">
        <f>Assumptions!$C$14</f>
        <v/>
      </c>
      <c r="O7" s="30">
        <f>Assumptions!$C$15</f>
        <v/>
      </c>
      <c r="P7" s="30">
        <f>Assumptions!$C$15</f>
        <v/>
      </c>
      <c r="Q7" s="30">
        <f>Assumptions!$C$15</f>
        <v/>
      </c>
      <c r="R7" s="30">
        <f>Assumptions!$C$15</f>
        <v/>
      </c>
      <c r="S7" s="30">
        <f>Assumptions!$C$15</f>
        <v/>
      </c>
      <c r="T7" s="30">
        <f>Assumptions!$C$15</f>
        <v/>
      </c>
      <c r="U7" s="30">
        <f>Assumptions!$C$15</f>
        <v/>
      </c>
      <c r="V7" s="30">
        <f>Assumptions!$C$15</f>
        <v/>
      </c>
      <c r="W7" s="30">
        <f>Assumptions!$C$15</f>
        <v/>
      </c>
      <c r="X7" s="30">
        <f>Assumptions!$C$15</f>
        <v/>
      </c>
      <c r="Y7" s="30">
        <f>Assumptions!$C$15</f>
        <v/>
      </c>
      <c r="Z7" s="30">
        <f>Assumptions!$C$15</f>
        <v/>
      </c>
      <c r="AA7" s="30">
        <f>Assumptions!$C$16</f>
        <v/>
      </c>
      <c r="AB7" s="30">
        <f>Assumptions!$C$16</f>
        <v/>
      </c>
      <c r="AC7" s="30">
        <f>Assumptions!$C$16</f>
        <v/>
      </c>
      <c r="AD7" s="30">
        <f>Assumptions!$C$16</f>
        <v/>
      </c>
      <c r="AE7" s="30">
        <f>Assumptions!$C$16</f>
        <v/>
      </c>
      <c r="AF7" s="30">
        <f>Assumptions!$C$16</f>
        <v/>
      </c>
      <c r="AG7" s="30">
        <f>Assumptions!$C$16</f>
        <v/>
      </c>
      <c r="AH7" s="30">
        <f>Assumptions!$C$16</f>
        <v/>
      </c>
      <c r="AI7" s="30">
        <f>Assumptions!$C$16</f>
        <v/>
      </c>
      <c r="AJ7" s="30">
        <f>Assumptions!$C$16</f>
        <v/>
      </c>
      <c r="AK7" s="30">
        <f>Assumptions!$C$16</f>
        <v/>
      </c>
      <c r="AL7" s="30">
        <f>Assumptions!$C$16</f>
        <v/>
      </c>
    </row>
    <row r="8">
      <c r="B8" s="4" t="inlineStr">
        <is>
          <t>Gross adds + retained</t>
        </is>
      </c>
      <c r="C8" s="15">
        <f>C6*(1+C7)</f>
        <v/>
      </c>
      <c r="D8" s="15">
        <f>D6*(1+D7)</f>
        <v/>
      </c>
      <c r="E8" s="15">
        <f>E6*(1+E7)</f>
        <v/>
      </c>
      <c r="F8" s="15">
        <f>F6*(1+F7)</f>
        <v/>
      </c>
      <c r="G8" s="15">
        <f>G6*(1+G7)</f>
        <v/>
      </c>
      <c r="H8" s="15">
        <f>H6*(1+H7)</f>
        <v/>
      </c>
      <c r="I8" s="15">
        <f>I6*(1+I7)</f>
        <v/>
      </c>
      <c r="J8" s="15">
        <f>J6*(1+J7)</f>
        <v/>
      </c>
      <c r="K8" s="15">
        <f>K6*(1+K7)</f>
        <v/>
      </c>
      <c r="L8" s="15">
        <f>L6*(1+L7)</f>
        <v/>
      </c>
      <c r="M8" s="15">
        <f>M6*(1+M7)</f>
        <v/>
      </c>
      <c r="N8" s="15">
        <f>N6*(1+N7)</f>
        <v/>
      </c>
      <c r="O8" s="15">
        <f>O6*(1+O7)</f>
        <v/>
      </c>
      <c r="P8" s="15">
        <f>P6*(1+P7)</f>
        <v/>
      </c>
      <c r="Q8" s="15">
        <f>Q6*(1+Q7)</f>
        <v/>
      </c>
      <c r="R8" s="15">
        <f>R6*(1+R7)</f>
        <v/>
      </c>
      <c r="S8" s="15">
        <f>S6*(1+S7)</f>
        <v/>
      </c>
      <c r="T8" s="15">
        <f>T6*(1+T7)</f>
        <v/>
      </c>
      <c r="U8" s="15">
        <f>U6*(1+U7)</f>
        <v/>
      </c>
      <c r="V8" s="15">
        <f>V6*(1+V7)</f>
        <v/>
      </c>
      <c r="W8" s="15">
        <f>W6*(1+W7)</f>
        <v/>
      </c>
      <c r="X8" s="15">
        <f>X6*(1+X7)</f>
        <v/>
      </c>
      <c r="Y8" s="15">
        <f>Y6*(1+Y7)</f>
        <v/>
      </c>
      <c r="Z8" s="15">
        <f>Z6*(1+Z7)</f>
        <v/>
      </c>
      <c r="AA8" s="15">
        <f>AA6*(1+AA7)</f>
        <v/>
      </c>
      <c r="AB8" s="15">
        <f>AB6*(1+AB7)</f>
        <v/>
      </c>
      <c r="AC8" s="15">
        <f>AC6*(1+AC7)</f>
        <v/>
      </c>
      <c r="AD8" s="15">
        <f>AD6*(1+AD7)</f>
        <v/>
      </c>
      <c r="AE8" s="15">
        <f>AE6*(1+AE7)</f>
        <v/>
      </c>
      <c r="AF8" s="15">
        <f>AF6*(1+AF7)</f>
        <v/>
      </c>
      <c r="AG8" s="15">
        <f>AG6*(1+AG7)</f>
        <v/>
      </c>
      <c r="AH8" s="15">
        <f>AH6*(1+AH7)</f>
        <v/>
      </c>
      <c r="AI8" s="15">
        <f>AI6*(1+AI7)</f>
        <v/>
      </c>
      <c r="AJ8" s="15">
        <f>AJ6*(1+AJ7)</f>
        <v/>
      </c>
      <c r="AK8" s="15">
        <f>AK6*(1+AK7)</f>
        <v/>
      </c>
      <c r="AL8" s="15">
        <f>AL6*(1+AL7)</f>
        <v/>
      </c>
    </row>
    <row r="9">
      <c r="B9" s="4" t="inlineStr">
        <is>
          <t>Churned</t>
        </is>
      </c>
      <c r="C9" s="15">
        <f>-C6*Assumptions!$C$17</f>
        <v/>
      </c>
      <c r="D9" s="15">
        <f>-D6*Assumptions!$C$17</f>
        <v/>
      </c>
      <c r="E9" s="15">
        <f>-E6*Assumptions!$C$17</f>
        <v/>
      </c>
      <c r="F9" s="15">
        <f>-F6*Assumptions!$C$17</f>
        <v/>
      </c>
      <c r="G9" s="15">
        <f>-G6*Assumptions!$C$17</f>
        <v/>
      </c>
      <c r="H9" s="15">
        <f>-H6*Assumptions!$C$17</f>
        <v/>
      </c>
      <c r="I9" s="15">
        <f>-I6*Assumptions!$C$17</f>
        <v/>
      </c>
      <c r="J9" s="15">
        <f>-J6*Assumptions!$C$17</f>
        <v/>
      </c>
      <c r="K9" s="15">
        <f>-K6*Assumptions!$C$17</f>
        <v/>
      </c>
      <c r="L9" s="15">
        <f>-L6*Assumptions!$C$17</f>
        <v/>
      </c>
      <c r="M9" s="15">
        <f>-M6*Assumptions!$C$17</f>
        <v/>
      </c>
      <c r="N9" s="15">
        <f>-N6*Assumptions!$C$17</f>
        <v/>
      </c>
      <c r="O9" s="15">
        <f>-O6*Assumptions!$C$17</f>
        <v/>
      </c>
      <c r="P9" s="15">
        <f>-P6*Assumptions!$C$17</f>
        <v/>
      </c>
      <c r="Q9" s="15">
        <f>-Q6*Assumptions!$C$17</f>
        <v/>
      </c>
      <c r="R9" s="15">
        <f>-R6*Assumptions!$C$17</f>
        <v/>
      </c>
      <c r="S9" s="15">
        <f>-S6*Assumptions!$C$17</f>
        <v/>
      </c>
      <c r="T9" s="15">
        <f>-T6*Assumptions!$C$17</f>
        <v/>
      </c>
      <c r="U9" s="15">
        <f>-U6*Assumptions!$C$17</f>
        <v/>
      </c>
      <c r="V9" s="15">
        <f>-V6*Assumptions!$C$17</f>
        <v/>
      </c>
      <c r="W9" s="15">
        <f>-W6*Assumptions!$C$17</f>
        <v/>
      </c>
      <c r="X9" s="15">
        <f>-X6*Assumptions!$C$17</f>
        <v/>
      </c>
      <c r="Y9" s="15">
        <f>-Y6*Assumptions!$C$17</f>
        <v/>
      </c>
      <c r="Z9" s="15">
        <f>-Z6*Assumptions!$C$17</f>
        <v/>
      </c>
      <c r="AA9" s="15">
        <f>-AA6*Assumptions!$C$17</f>
        <v/>
      </c>
      <c r="AB9" s="15">
        <f>-AB6*Assumptions!$C$17</f>
        <v/>
      </c>
      <c r="AC9" s="15">
        <f>-AC6*Assumptions!$C$17</f>
        <v/>
      </c>
      <c r="AD9" s="15">
        <f>-AD6*Assumptions!$C$17</f>
        <v/>
      </c>
      <c r="AE9" s="15">
        <f>-AE6*Assumptions!$C$17</f>
        <v/>
      </c>
      <c r="AF9" s="15">
        <f>-AF6*Assumptions!$C$17</f>
        <v/>
      </c>
      <c r="AG9" s="15">
        <f>-AG6*Assumptions!$C$17</f>
        <v/>
      </c>
      <c r="AH9" s="15">
        <f>-AH6*Assumptions!$C$17</f>
        <v/>
      </c>
      <c r="AI9" s="15">
        <f>-AI6*Assumptions!$C$17</f>
        <v/>
      </c>
      <c r="AJ9" s="15">
        <f>-AJ6*Assumptions!$C$17</f>
        <v/>
      </c>
      <c r="AK9" s="15">
        <f>-AK6*Assumptions!$C$17</f>
        <v/>
      </c>
      <c r="AL9" s="15">
        <f>-AL6*Assumptions!$C$17</f>
        <v/>
      </c>
    </row>
    <row r="10">
      <c r="B10" s="13" t="inlineStr">
        <is>
          <t>Closing subscribers</t>
        </is>
      </c>
      <c r="C10" s="16">
        <f>C8+C9</f>
        <v/>
      </c>
      <c r="D10" s="16">
        <f>D8+D9</f>
        <v/>
      </c>
      <c r="E10" s="16">
        <f>E8+E9</f>
        <v/>
      </c>
      <c r="F10" s="16">
        <f>F8+F9</f>
        <v/>
      </c>
      <c r="G10" s="16">
        <f>G8+G9</f>
        <v/>
      </c>
      <c r="H10" s="16">
        <f>H8+H9</f>
        <v/>
      </c>
      <c r="I10" s="16">
        <f>I8+I9</f>
        <v/>
      </c>
      <c r="J10" s="16">
        <f>J8+J9</f>
        <v/>
      </c>
      <c r="K10" s="16">
        <f>K8+K9</f>
        <v/>
      </c>
      <c r="L10" s="16">
        <f>L8+L9</f>
        <v/>
      </c>
      <c r="M10" s="16">
        <f>M8+M9</f>
        <v/>
      </c>
      <c r="N10" s="16">
        <f>N8+N9</f>
        <v/>
      </c>
      <c r="O10" s="16">
        <f>O8+O9</f>
        <v/>
      </c>
      <c r="P10" s="16">
        <f>P8+P9</f>
        <v/>
      </c>
      <c r="Q10" s="16">
        <f>Q8+Q9</f>
        <v/>
      </c>
      <c r="R10" s="16">
        <f>R8+R9</f>
        <v/>
      </c>
      <c r="S10" s="16">
        <f>S8+S9</f>
        <v/>
      </c>
      <c r="T10" s="16">
        <f>T8+T9</f>
        <v/>
      </c>
      <c r="U10" s="16">
        <f>U8+U9</f>
        <v/>
      </c>
      <c r="V10" s="16">
        <f>V8+V9</f>
        <v/>
      </c>
      <c r="W10" s="16">
        <f>W8+W9</f>
        <v/>
      </c>
      <c r="X10" s="16">
        <f>X8+X9</f>
        <v/>
      </c>
      <c r="Y10" s="16">
        <f>Y8+Y9</f>
        <v/>
      </c>
      <c r="Z10" s="16">
        <f>Z8+Z9</f>
        <v/>
      </c>
      <c r="AA10" s="16">
        <f>AA8+AA9</f>
        <v/>
      </c>
      <c r="AB10" s="16">
        <f>AB8+AB9</f>
        <v/>
      </c>
      <c r="AC10" s="16">
        <f>AC8+AC9</f>
        <v/>
      </c>
      <c r="AD10" s="16">
        <f>AD8+AD9</f>
        <v/>
      </c>
      <c r="AE10" s="16">
        <f>AE8+AE9</f>
        <v/>
      </c>
      <c r="AF10" s="16">
        <f>AF8+AF9</f>
        <v/>
      </c>
      <c r="AG10" s="16">
        <f>AG8+AG9</f>
        <v/>
      </c>
      <c r="AH10" s="16">
        <f>AH8+AH9</f>
        <v/>
      </c>
      <c r="AI10" s="16">
        <f>AI8+AI9</f>
        <v/>
      </c>
      <c r="AJ10" s="16">
        <f>AJ8+AJ9</f>
        <v/>
      </c>
      <c r="AK10" s="16">
        <f>AK8+AK9</f>
        <v/>
      </c>
      <c r="AL10" s="16">
        <f>AL8+AL9</f>
        <v/>
      </c>
    </row>
    <row r="11">
      <c r="B11" s="13" t="inlineStr">
        <is>
          <t>MRR ($)</t>
        </is>
      </c>
      <c r="C11" s="15">
        <f>C10*Assumptions!$C$8</f>
        <v/>
      </c>
      <c r="D11" s="15">
        <f>D10*Assumptions!$C$8</f>
        <v/>
      </c>
      <c r="E11" s="15">
        <f>E10*Assumptions!$C$8</f>
        <v/>
      </c>
      <c r="F11" s="15">
        <f>F10*Assumptions!$C$8</f>
        <v/>
      </c>
      <c r="G11" s="15">
        <f>G10*Assumptions!$C$8</f>
        <v/>
      </c>
      <c r="H11" s="15">
        <f>H10*Assumptions!$C$8</f>
        <v/>
      </c>
      <c r="I11" s="15">
        <f>I10*Assumptions!$C$8</f>
        <v/>
      </c>
      <c r="J11" s="15">
        <f>J10*Assumptions!$C$8</f>
        <v/>
      </c>
      <c r="K11" s="15">
        <f>K10*Assumptions!$C$8</f>
        <v/>
      </c>
      <c r="L11" s="15">
        <f>L10*Assumptions!$C$8</f>
        <v/>
      </c>
      <c r="M11" s="15">
        <f>M10*Assumptions!$C$8</f>
        <v/>
      </c>
      <c r="N11" s="15">
        <f>N10*Assumptions!$C$8</f>
        <v/>
      </c>
      <c r="O11" s="15">
        <f>O10*Assumptions!$C$8</f>
        <v/>
      </c>
      <c r="P11" s="15">
        <f>P10*Assumptions!$C$8</f>
        <v/>
      </c>
      <c r="Q11" s="15">
        <f>Q10*Assumptions!$C$8</f>
        <v/>
      </c>
      <c r="R11" s="15">
        <f>R10*Assumptions!$C$8</f>
        <v/>
      </c>
      <c r="S11" s="15">
        <f>S10*Assumptions!$C$8</f>
        <v/>
      </c>
      <c r="T11" s="15">
        <f>T10*Assumptions!$C$8</f>
        <v/>
      </c>
      <c r="U11" s="15">
        <f>U10*Assumptions!$C$8</f>
        <v/>
      </c>
      <c r="V11" s="15">
        <f>V10*Assumptions!$C$8</f>
        <v/>
      </c>
      <c r="W11" s="15">
        <f>W10*Assumptions!$C$8</f>
        <v/>
      </c>
      <c r="X11" s="15">
        <f>X10*Assumptions!$C$8</f>
        <v/>
      </c>
      <c r="Y11" s="15">
        <f>Y10*Assumptions!$C$8</f>
        <v/>
      </c>
      <c r="Z11" s="15">
        <f>Z10*Assumptions!$C$8</f>
        <v/>
      </c>
      <c r="AA11" s="15">
        <f>AA10*Assumptions!$C$8</f>
        <v/>
      </c>
      <c r="AB11" s="15">
        <f>AB10*Assumptions!$C$8</f>
        <v/>
      </c>
      <c r="AC11" s="15">
        <f>AC10*Assumptions!$C$8</f>
        <v/>
      </c>
      <c r="AD11" s="15">
        <f>AD10*Assumptions!$C$8</f>
        <v/>
      </c>
      <c r="AE11" s="15">
        <f>AE10*Assumptions!$C$8</f>
        <v/>
      </c>
      <c r="AF11" s="15">
        <f>AF10*Assumptions!$C$8</f>
        <v/>
      </c>
      <c r="AG11" s="15">
        <f>AG10*Assumptions!$C$8</f>
        <v/>
      </c>
      <c r="AH11" s="15">
        <f>AH10*Assumptions!$C$8</f>
        <v/>
      </c>
      <c r="AI11" s="15">
        <f>AI10*Assumptions!$C$8</f>
        <v/>
      </c>
      <c r="AJ11" s="15">
        <f>AJ10*Assumptions!$C$8</f>
        <v/>
      </c>
      <c r="AK11" s="15">
        <f>AK10*Assumptions!$C$8</f>
        <v/>
      </c>
      <c r="AL11" s="15">
        <f>AL10*Assumptions!$C$8</f>
        <v/>
      </c>
    </row>
    <row r="12">
      <c r="B12" s="4" t="inlineStr">
        <is>
          <t>Marketing spend ($)</t>
        </is>
      </c>
      <c r="C12" s="15">
        <f>C11*Assumptions!$C$22</f>
        <v/>
      </c>
      <c r="D12" s="15">
        <f>D11*Assumptions!$C$22</f>
        <v/>
      </c>
      <c r="E12" s="15">
        <f>E11*Assumptions!$C$22</f>
        <v/>
      </c>
      <c r="F12" s="15">
        <f>F11*Assumptions!$C$22</f>
        <v/>
      </c>
      <c r="G12" s="15">
        <f>G11*Assumptions!$C$22</f>
        <v/>
      </c>
      <c r="H12" s="15">
        <f>H11*Assumptions!$C$22</f>
        <v/>
      </c>
      <c r="I12" s="15">
        <f>I11*Assumptions!$C$22</f>
        <v/>
      </c>
      <c r="J12" s="15">
        <f>J11*Assumptions!$C$22</f>
        <v/>
      </c>
      <c r="K12" s="15">
        <f>K11*Assumptions!$C$22</f>
        <v/>
      </c>
      <c r="L12" s="15">
        <f>L11*Assumptions!$C$22</f>
        <v/>
      </c>
      <c r="M12" s="15">
        <f>M11*Assumptions!$C$22</f>
        <v/>
      </c>
      <c r="N12" s="15">
        <f>N11*Assumptions!$C$22</f>
        <v/>
      </c>
      <c r="O12" s="15">
        <f>O11*Assumptions!$C$22</f>
        <v/>
      </c>
      <c r="P12" s="15">
        <f>P11*Assumptions!$C$22</f>
        <v/>
      </c>
      <c r="Q12" s="15">
        <f>Q11*Assumptions!$C$22</f>
        <v/>
      </c>
      <c r="R12" s="15">
        <f>R11*Assumptions!$C$22</f>
        <v/>
      </c>
      <c r="S12" s="15">
        <f>S11*Assumptions!$C$22</f>
        <v/>
      </c>
      <c r="T12" s="15">
        <f>T11*Assumptions!$C$22</f>
        <v/>
      </c>
      <c r="U12" s="15">
        <f>U11*Assumptions!$C$22</f>
        <v/>
      </c>
      <c r="V12" s="15">
        <f>V11*Assumptions!$C$22</f>
        <v/>
      </c>
      <c r="W12" s="15">
        <f>W11*Assumptions!$C$22</f>
        <v/>
      </c>
      <c r="X12" s="15">
        <f>X11*Assumptions!$C$22</f>
        <v/>
      </c>
      <c r="Y12" s="15">
        <f>Y11*Assumptions!$C$22</f>
        <v/>
      </c>
      <c r="Z12" s="15">
        <f>Z11*Assumptions!$C$22</f>
        <v/>
      </c>
      <c r="AA12" s="15">
        <f>AA11*Assumptions!$C$22</f>
        <v/>
      </c>
      <c r="AB12" s="15">
        <f>AB11*Assumptions!$C$22</f>
        <v/>
      </c>
      <c r="AC12" s="15">
        <f>AC11*Assumptions!$C$22</f>
        <v/>
      </c>
      <c r="AD12" s="15">
        <f>AD11*Assumptions!$C$22</f>
        <v/>
      </c>
      <c r="AE12" s="15">
        <f>AE11*Assumptions!$C$22</f>
        <v/>
      </c>
      <c r="AF12" s="15">
        <f>AF11*Assumptions!$C$22</f>
        <v/>
      </c>
      <c r="AG12" s="15">
        <f>AG11*Assumptions!$C$22</f>
        <v/>
      </c>
      <c r="AH12" s="15">
        <f>AH11*Assumptions!$C$22</f>
        <v/>
      </c>
      <c r="AI12" s="15">
        <f>AI11*Assumptions!$C$22</f>
        <v/>
      </c>
      <c r="AJ12" s="15">
        <f>AJ11*Assumptions!$C$22</f>
        <v/>
      </c>
      <c r="AK12" s="15">
        <f>AK11*Assumptions!$C$22</f>
        <v/>
      </c>
      <c r="AL12" s="15">
        <f>AL11*Assumptions!$C$22</f>
        <v/>
      </c>
    </row>
    <row r="13">
      <c r="B13" s="4" t="inlineStr">
        <is>
          <t>Prize payouts ($)</t>
        </is>
      </c>
      <c r="C13" s="28">
        <f>Assumptions!$C$9*(INT(SUM($B$10:C10)*Assumptions!$C$36*Assumptions!$C$24)-INT(SUM($B$10:B10)*Assumptions!$C$36*Assumptions!$C$24))</f>
        <v/>
      </c>
      <c r="D13" s="15">
        <f>Assumptions!$C$9*(INT(SUM($B$10:D10)*Assumptions!$C$36*Assumptions!$C$24)-INT(SUM($B$10:C10)*Assumptions!$C$36*Assumptions!$C$24))</f>
        <v/>
      </c>
      <c r="E13" s="15">
        <f>Assumptions!$C$9*(INT(SUM($B$10:E10)*Assumptions!$C$36*Assumptions!$C$24)-INT(SUM($B$10:D10)*Assumptions!$C$36*Assumptions!$C$24))</f>
        <v/>
      </c>
      <c r="F13" s="15">
        <f>Assumptions!$C$9*(INT(SUM($B$10:F10)*Assumptions!$C$36*Assumptions!$C$24)-INT(SUM($B$10:E10)*Assumptions!$C$36*Assumptions!$C$24))</f>
        <v/>
      </c>
      <c r="G13" s="15">
        <f>Assumptions!$C$9*(INT(SUM($B$10:G10)*Assumptions!$C$36*Assumptions!$C$24)-INT(SUM($B$10:F10)*Assumptions!$C$36*Assumptions!$C$24))</f>
        <v/>
      </c>
      <c r="H13" s="15">
        <f>Assumptions!$C$9*(INT(SUM($B$10:H10)*Assumptions!$C$36*Assumptions!$C$24)-INT(SUM($B$10:G10)*Assumptions!$C$36*Assumptions!$C$24))</f>
        <v/>
      </c>
      <c r="I13" s="15">
        <f>Assumptions!$C$9*(INT(SUM($B$10:I10)*Assumptions!$C$36*Assumptions!$C$24)-INT(SUM($B$10:H10)*Assumptions!$C$36*Assumptions!$C$24))</f>
        <v/>
      </c>
      <c r="J13" s="15">
        <f>Assumptions!$C$9*(INT(SUM($B$10:J10)*Assumptions!$C$36*Assumptions!$C$24)-INT(SUM($B$10:I10)*Assumptions!$C$36*Assumptions!$C$24))</f>
        <v/>
      </c>
      <c r="K13" s="15">
        <f>Assumptions!$C$9*(INT(SUM($B$10:K10)*Assumptions!$C$36*Assumptions!$C$24)-INT(SUM($B$10:J10)*Assumptions!$C$36*Assumptions!$C$24))</f>
        <v/>
      </c>
      <c r="L13" s="15">
        <f>Assumptions!$C$9*(INT(SUM($B$10:L10)*Assumptions!$C$36*Assumptions!$C$24)-INT(SUM($B$10:K10)*Assumptions!$C$36*Assumptions!$C$24))</f>
        <v/>
      </c>
      <c r="M13" s="15">
        <f>Assumptions!$C$9*(INT(SUM($B$10:M10)*Assumptions!$C$36*Assumptions!$C$24)-INT(SUM($B$10:L10)*Assumptions!$C$36*Assumptions!$C$24))</f>
        <v/>
      </c>
      <c r="N13" s="15">
        <f>Assumptions!$C$9*(INT(SUM($B$10:N10)*Assumptions!$C$36*Assumptions!$C$24)-INT(SUM($B$10:M10)*Assumptions!$C$36*Assumptions!$C$24))</f>
        <v/>
      </c>
      <c r="O13" s="15">
        <f>Assumptions!$C$9*(INT(SUM($B$10:O10)*Assumptions!$C$36*Assumptions!$C$24)-INT(SUM($B$10:N10)*Assumptions!$C$36*Assumptions!$C$24))</f>
        <v/>
      </c>
      <c r="P13" s="15">
        <f>Assumptions!$C$9*(INT(SUM($B$10:P10)*Assumptions!$C$36*Assumptions!$C$24)-INT(SUM($B$10:O10)*Assumptions!$C$36*Assumptions!$C$24))</f>
        <v/>
      </c>
      <c r="Q13" s="15">
        <f>Assumptions!$C$9*(INT(SUM($B$10:Q10)*Assumptions!$C$36*Assumptions!$C$24)-INT(SUM($B$10:P10)*Assumptions!$C$36*Assumptions!$C$24))</f>
        <v/>
      </c>
      <c r="R13" s="15">
        <f>Assumptions!$C$9*(INT(SUM($B$10:R10)*Assumptions!$C$36*Assumptions!$C$24)-INT(SUM($B$10:Q10)*Assumptions!$C$36*Assumptions!$C$24))</f>
        <v/>
      </c>
      <c r="S13" s="15">
        <f>Assumptions!$C$9*(INT(SUM($B$10:S10)*Assumptions!$C$36*Assumptions!$C$24)-INT(SUM($B$10:R10)*Assumptions!$C$36*Assumptions!$C$24))</f>
        <v/>
      </c>
      <c r="T13" s="15">
        <f>Assumptions!$C$9*(INT(SUM($B$10:T10)*Assumptions!$C$36*Assumptions!$C$24)-INT(SUM($B$10:S10)*Assumptions!$C$36*Assumptions!$C$24))</f>
        <v/>
      </c>
      <c r="U13" s="15">
        <f>Assumptions!$C$9*(INT(SUM($B$10:U10)*Assumptions!$C$36*Assumptions!$C$24)-INT(SUM($B$10:T10)*Assumptions!$C$36*Assumptions!$C$24))</f>
        <v/>
      </c>
      <c r="V13" s="15">
        <f>Assumptions!$C$9*(INT(SUM($B$10:V10)*Assumptions!$C$36*Assumptions!$C$24)-INT(SUM($B$10:U10)*Assumptions!$C$36*Assumptions!$C$24))</f>
        <v/>
      </c>
      <c r="W13" s="15">
        <f>Assumptions!$C$9*(INT(SUM($B$10:W10)*Assumptions!$C$36*Assumptions!$C$24)-INT(SUM($B$10:V10)*Assumptions!$C$36*Assumptions!$C$24))</f>
        <v/>
      </c>
      <c r="X13" s="15">
        <f>Assumptions!$C$9*(INT(SUM($B$10:X10)*Assumptions!$C$36*Assumptions!$C$24)-INT(SUM($B$10:W10)*Assumptions!$C$36*Assumptions!$C$24))</f>
        <v/>
      </c>
      <c r="Y13" s="15">
        <f>Assumptions!$C$9*(INT(SUM($B$10:Y10)*Assumptions!$C$36*Assumptions!$C$24)-INT(SUM($B$10:X10)*Assumptions!$C$36*Assumptions!$C$24))</f>
        <v/>
      </c>
      <c r="Z13" s="15">
        <f>Assumptions!$C$9*(INT(SUM($B$10:Z10)*Assumptions!$C$36*Assumptions!$C$24)-INT(SUM($B$10:Y10)*Assumptions!$C$36*Assumptions!$C$24))</f>
        <v/>
      </c>
      <c r="AA13" s="15">
        <f>Assumptions!$C$9*(INT(SUM($B$10:AA10)*Assumptions!$C$36*Assumptions!$C$24)-INT(SUM($B$10:Z10)*Assumptions!$C$36*Assumptions!$C$24))</f>
        <v/>
      </c>
      <c r="AB13" s="15">
        <f>Assumptions!$C$9*(INT(SUM($B$10:AB10)*Assumptions!$C$36*Assumptions!$C$24)-INT(SUM($B$10:AA10)*Assumptions!$C$36*Assumptions!$C$24))</f>
        <v/>
      </c>
      <c r="AC13" s="15">
        <f>Assumptions!$C$9*(INT(SUM($B$10:AC10)*Assumptions!$C$36*Assumptions!$C$24)-INT(SUM($B$10:AB10)*Assumptions!$C$36*Assumptions!$C$24))</f>
        <v/>
      </c>
      <c r="AD13" s="15">
        <f>Assumptions!$C$9*(INT(SUM($B$10:AD10)*Assumptions!$C$36*Assumptions!$C$24)-INT(SUM($B$10:AC10)*Assumptions!$C$36*Assumptions!$C$24))</f>
        <v/>
      </c>
      <c r="AE13" s="15">
        <f>Assumptions!$C$9*(INT(SUM($B$10:AE10)*Assumptions!$C$36*Assumptions!$C$24)-INT(SUM($B$10:AD10)*Assumptions!$C$36*Assumptions!$C$24))</f>
        <v/>
      </c>
      <c r="AF13" s="15">
        <f>Assumptions!$C$9*(INT(SUM($B$10:AF10)*Assumptions!$C$36*Assumptions!$C$24)-INT(SUM($B$10:AE10)*Assumptions!$C$36*Assumptions!$C$24))</f>
        <v/>
      </c>
      <c r="AG13" s="15">
        <f>Assumptions!$C$9*(INT(SUM($B$10:AG10)*Assumptions!$C$36*Assumptions!$C$24)-INT(SUM($B$10:AF10)*Assumptions!$C$36*Assumptions!$C$24))</f>
        <v/>
      </c>
      <c r="AH13" s="15">
        <f>Assumptions!$C$9*(INT(SUM($B$10:AH10)*Assumptions!$C$36*Assumptions!$C$24)-INT(SUM($B$10:AG10)*Assumptions!$C$36*Assumptions!$C$24))</f>
        <v/>
      </c>
      <c r="AI13" s="15">
        <f>Assumptions!$C$9*(INT(SUM($B$10:AI10)*Assumptions!$C$36*Assumptions!$C$24)-INT(SUM($B$10:AH10)*Assumptions!$C$36*Assumptions!$C$24))</f>
        <v/>
      </c>
      <c r="AJ13" s="15">
        <f>Assumptions!$C$9*(INT(SUM($B$10:AJ10)*Assumptions!$C$36*Assumptions!$C$24)-INT(SUM($B$10:AI10)*Assumptions!$C$36*Assumptions!$C$24))</f>
        <v/>
      </c>
      <c r="AK13" s="15">
        <f>Assumptions!$C$9*(INT(SUM($B$10:AK10)*Assumptions!$C$36*Assumptions!$C$24)-INT(SUM($B$10:AJ10)*Assumptions!$C$36*Assumptions!$C$24))</f>
        <v/>
      </c>
      <c r="AL13" s="15">
        <f>Assumptions!$C$9*(INT(SUM($B$10:AL10)*Assumptions!$C$36*Assumptions!$C$24)-INT(SUM($B$10:AK10)*Assumptions!$C$36*Assumptions!$C$24))</f>
        <v/>
      </c>
    </row>
    <row r="14">
      <c r="B14" s="4" t="inlineStr">
        <is>
          <t>Sponsorship ($)</t>
        </is>
      </c>
      <c r="C14" s="28">
        <f>Assumptions!$C$34/12*C10/$C$10</f>
        <v/>
      </c>
      <c r="D14" s="15">
        <f>Assumptions!$C$34/12*D10/$C$10</f>
        <v/>
      </c>
      <c r="E14" s="15">
        <f>Assumptions!$C$34/12*E10/$C$10</f>
        <v/>
      </c>
      <c r="F14" s="15">
        <f>Assumptions!$C$34/12*F10/$C$10</f>
        <v/>
      </c>
      <c r="G14" s="15">
        <f>Assumptions!$C$34/12*G10/$C$10</f>
        <v/>
      </c>
      <c r="H14" s="15">
        <f>Assumptions!$C$34/12*H10/$C$10</f>
        <v/>
      </c>
      <c r="I14" s="15">
        <f>Assumptions!$C$34/12*I10/$C$10</f>
        <v/>
      </c>
      <c r="J14" s="15">
        <f>Assumptions!$C$34/12*J10/$C$10</f>
        <v/>
      </c>
      <c r="K14" s="15">
        <f>Assumptions!$C$34/12*K10/$C$10</f>
        <v/>
      </c>
      <c r="L14" s="15">
        <f>Assumptions!$C$34/12*L10/$C$10</f>
        <v/>
      </c>
      <c r="M14" s="15">
        <f>Assumptions!$C$34/12*M10/$C$10</f>
        <v/>
      </c>
      <c r="N14" s="15">
        <f>Assumptions!$C$34/12*N10/$C$10</f>
        <v/>
      </c>
      <c r="O14" s="15">
        <f>Assumptions!$C$34/12*O10/$C$10</f>
        <v/>
      </c>
      <c r="P14" s="15">
        <f>Assumptions!$C$34/12*P10/$C$10</f>
        <v/>
      </c>
      <c r="Q14" s="15">
        <f>Assumptions!$C$34/12*Q10/$C$10</f>
        <v/>
      </c>
      <c r="R14" s="15">
        <f>Assumptions!$C$34/12*R10/$C$10</f>
        <v/>
      </c>
      <c r="S14" s="15">
        <f>Assumptions!$C$34/12*S10/$C$10</f>
        <v/>
      </c>
      <c r="T14" s="15">
        <f>Assumptions!$C$34/12*T10/$C$10</f>
        <v/>
      </c>
      <c r="U14" s="15">
        <f>Assumptions!$C$34/12*U10/$C$10</f>
        <v/>
      </c>
      <c r="V14" s="15">
        <f>Assumptions!$C$34/12*V10/$C$10</f>
        <v/>
      </c>
      <c r="W14" s="15">
        <f>Assumptions!$C$34/12*W10/$C$10</f>
        <v/>
      </c>
      <c r="X14" s="15">
        <f>Assumptions!$C$34/12*X10/$C$10</f>
        <v/>
      </c>
      <c r="Y14" s="15">
        <f>Assumptions!$C$34/12*Y10/$C$10</f>
        <v/>
      </c>
      <c r="Z14" s="15">
        <f>Assumptions!$C$34/12*Z10/$C$10</f>
        <v/>
      </c>
      <c r="AA14" s="15">
        <f>Assumptions!$C$34/12*AA10/$C$10</f>
        <v/>
      </c>
      <c r="AB14" s="15">
        <f>Assumptions!$C$34/12*AB10/$C$10</f>
        <v/>
      </c>
      <c r="AC14" s="15">
        <f>Assumptions!$C$34/12*AC10/$C$10</f>
        <v/>
      </c>
      <c r="AD14" s="15">
        <f>Assumptions!$C$34/12*AD10/$C$10</f>
        <v/>
      </c>
      <c r="AE14" s="15">
        <f>Assumptions!$C$34/12*AE10/$C$10</f>
        <v/>
      </c>
      <c r="AF14" s="15">
        <f>Assumptions!$C$34/12*AF10/$C$10</f>
        <v/>
      </c>
      <c r="AG14" s="15">
        <f>Assumptions!$C$34/12*AG10/$C$10</f>
        <v/>
      </c>
      <c r="AH14" s="15">
        <f>Assumptions!$C$34/12*AH10/$C$10</f>
        <v/>
      </c>
      <c r="AI14" s="15">
        <f>Assumptions!$C$34/12*AI10/$C$10</f>
        <v/>
      </c>
      <c r="AJ14" s="15">
        <f>Assumptions!$C$34/12*AJ10/$C$10</f>
        <v/>
      </c>
      <c r="AK14" s="15">
        <f>Assumptions!$C$34/12*AK10/$C$10</f>
        <v/>
      </c>
      <c r="AL14" s="15">
        <f>Assumptions!$C$34/12*AL10/$C$10</f>
        <v/>
      </c>
    </row>
  </sheetData>
  <mergeCells count="2">
    <mergeCell ref="B3:H3"/>
    <mergeCell ref="B2:E2"/>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J39"/>
  <sheetViews>
    <sheetView showGridLines="0" workbookViewId="0">
      <selection activeCell="A1" sqref="A1"/>
    </sheetView>
  </sheetViews>
  <sheetFormatPr baseColWidth="8" defaultRowHeight="15"/>
  <cols>
    <col width="2" customWidth="1" min="1" max="1"/>
    <col width="46" customWidth="1" min="2" max="2"/>
    <col width="16" customWidth="1" min="3" max="3"/>
    <col width="16" customWidth="1" min="4" max="4"/>
    <col width="16" customWidth="1" min="5" max="5"/>
    <col width="16" customWidth="1" min="6" max="6"/>
    <col width="16" customWidth="1" min="7" max="7"/>
    <col width="18" customWidth="1" min="8" max="8"/>
    <col width="18" customWidth="1" min="9" max="9"/>
    <col width="44" customWidth="1" min="10" max="10"/>
  </cols>
  <sheetData>
    <row r="2">
      <c r="B2" s="55" t="inlineStr">
        <is>
          <t>SIMULATOR CHANNEL</t>
        </is>
      </c>
    </row>
    <row r="3">
      <c r="B3" s="56" t="inlineStr">
        <is>
          <t>Blue = change me.  Yellow = key assumption.  Black = calculated.</t>
        </is>
      </c>
    </row>
    <row r="5">
      <c r="B5" s="57" t="inlineStr">
        <is>
          <t>STATUS</t>
        </is>
      </c>
      <c r="C5" s="57" t="inlineStr"/>
      <c r="D5" s="57" t="inlineStr"/>
    </row>
    <row r="6">
      <c r="B6" s="58" t="inlineStr">
        <is>
          <t>Stream status</t>
        </is>
      </c>
      <c r="C6" s="91" t="inlineStr">
        <is>
          <t>LAUNCHING 2027</t>
        </is>
      </c>
      <c r="E6" s="118" t="inlineStr">
        <is>
          <t>Revenue stream 4 of 4. Integration funded by this round (20% of the R8m raise).</t>
        </is>
      </c>
    </row>
    <row r="7">
      <c r="B7" s="58" t="inlineStr">
        <is>
          <t>Lead target operator</t>
        </is>
      </c>
      <c r="C7" s="58" t="inlineStr">
        <is>
          <t>Golfzon</t>
        </is>
      </c>
      <c r="E7" s="118" t="inlineStr">
        <is>
          <t>6,500+ venues, ~60% of the global commercial simulator market (Forbes / Seoulz).</t>
        </is>
      </c>
    </row>
    <row r="8">
      <c r="B8" s="58" t="inlineStr">
        <is>
          <t>Route to market</t>
        </is>
      </c>
      <c r="C8" s="58" t="inlineStr">
        <is>
          <t>Ernie Els — direct relationships</t>
        </is>
      </c>
      <c r="E8" s="118" t="inlineStr">
        <is>
          <t>Ernie Els has direct relationships with the target operators and opens the door himself. Access, not a contract.</t>
        </is>
      </c>
    </row>
    <row r="9">
      <c r="B9" t="inlineStr">
        <is>
          <t>Operator agreements</t>
        </is>
      </c>
      <c r="C9" s="58" t="inlineStr">
        <is>
          <t>Not yet signed</t>
        </is>
      </c>
      <c r="E9" s="92" t="inlineStr">
        <is>
          <t>No operator agreement is signed as at August 2026. Simulator revenue depends on concluding one.</t>
        </is>
      </c>
    </row>
    <row r="10">
      <c r="B10" s="57" t="inlineStr">
        <is>
          <t>UNIT ECONOMICS</t>
        </is>
      </c>
      <c r="C10" s="57" t="inlineStr"/>
      <c r="D10" s="57" t="inlineStr"/>
    </row>
    <row r="11">
      <c r="B11" s="58" t="inlineStr">
        <is>
          <t>Entry price (USD)</t>
        </is>
      </c>
      <c r="C11" s="61" t="n">
        <v>1</v>
      </c>
      <c r="E11" s="118" t="inlineStr">
        <is>
          <t>Price per in-sim challenge, charged inside the operator software.</t>
        </is>
      </c>
    </row>
    <row r="12">
      <c r="B12" s="58" t="inlineStr">
        <is>
          <t>Insured prize (USD)</t>
        </is>
      </c>
      <c r="C12" s="61" t="n">
        <v>1000</v>
      </c>
      <c r="E12" s="118" t="inlineStr">
        <is>
          <t>Paid by the insurer on a verified ace. Get Lucky carries no prize risk.</t>
        </is>
      </c>
    </row>
    <row r="13">
      <c r="B13" s="58" t="inlineStr">
        <is>
          <t>Get Lucky share of entry</t>
        </is>
      </c>
      <c r="C13" s="62" t="n">
        <v>0.46</v>
      </c>
      <c r="E13" s="118" t="inlineStr">
        <is>
          <t>Residual after operator and insurer shares. Key commercial assumption — confirm on signature.</t>
        </is>
      </c>
    </row>
    <row r="14">
      <c r="B14" s="58" t="inlineStr">
        <is>
          <t>Operator share of entry</t>
        </is>
      </c>
      <c r="C14" s="62" t="n">
        <v>0.3</v>
      </c>
      <c r="E14" s="118" t="inlineStr">
        <is>
          <t>More than a course 10%: the operator brings venues, software surface and distribution; Get Lucky installs no hardware.</t>
        </is>
      </c>
    </row>
    <row r="15">
      <c r="B15" s="58" t="inlineStr">
        <is>
          <t>Insurer share of entry</t>
        </is>
      </c>
      <c r="C15" s="63" t="n">
        <v>0.24</v>
      </c>
      <c r="E15" s="118" t="inlineStr">
        <is>
          <t>Held identical to the on-course insurance premium assumption.</t>
        </is>
      </c>
    </row>
    <row r="16">
      <c r="B16" s="58" t="inlineStr">
        <is>
          <t>Check — shares total 100%</t>
        </is>
      </c>
      <c r="C16" s="64">
        <f>C13+C14+C15</f>
        <v/>
      </c>
      <c r="E16" s="118" t="inlineStr">
        <is>
          <t>Must read 100.0%.</t>
        </is>
      </c>
    </row>
    <row r="17">
      <c r="B17" s="58" t="inlineStr">
        <is>
          <t>EBITDA margin on Get Lucky share</t>
        </is>
      </c>
      <c r="C17" s="62" t="n">
        <v>0.42</v>
      </c>
      <c r="E17" s="118" t="inlineStr">
        <is>
          <t>Software-only channel, but funded to land: integration engineering, operator marketing support and platform operations are carried here.</t>
        </is>
      </c>
    </row>
    <row r="19">
      <c r="B19" s="57" t="inlineStr">
        <is>
          <t>VOLUME BASIS</t>
        </is>
      </c>
      <c r="C19" s="57" t="inlineStr"/>
      <c r="D19" s="57" t="inlineStr"/>
    </row>
    <row r="20">
      <c r="B20" s="58" t="inlineStr">
        <is>
          <t>Simulator rounds per year — South Korea</t>
        </is>
      </c>
      <c r="C20" s="65" t="n">
        <v>94000000</v>
      </c>
      <c r="E20" s="118" t="inlineStr">
        <is>
          <t>Source: GOLF.com — ~94M rounds logged on Golfzon simulators in South Korea in a single year. Korea ONLY: Golfzon venues elsewhere and all other operators are excluded from this model.</t>
        </is>
      </c>
    </row>
    <row r="22">
      <c r="B22" s="57" t="inlineStr">
        <is>
          <t>ANNUAL RAMP</t>
        </is>
      </c>
      <c r="C22" s="57" t="inlineStr"/>
      <c r="D22" s="57" t="inlineStr"/>
      <c r="E22" s="57" t="inlineStr"/>
      <c r="F22" s="57" t="inlineStr"/>
      <c r="G22" s="57" t="inlineStr"/>
    </row>
    <row r="23">
      <c r="B23" s="66" t="inlineStr">
        <is>
          <t>Metric</t>
        </is>
      </c>
      <c r="C23" s="67" t="inlineStr">
        <is>
          <t>2026</t>
        </is>
      </c>
      <c r="D23" s="67" t="inlineStr">
        <is>
          <t>2027</t>
        </is>
      </c>
      <c r="E23" s="67" t="inlineStr">
        <is>
          <t>2028</t>
        </is>
      </c>
      <c r="F23" s="67" t="inlineStr">
        <is>
          <t>2029</t>
        </is>
      </c>
      <c r="G23" s="67" t="inlineStr">
        <is>
          <t>2032</t>
        </is>
      </c>
    </row>
    <row r="24">
      <c r="B24" s="58" t="inlineStr">
        <is>
          <t>Attach rate (% of Korea rounds)</t>
        </is>
      </c>
      <c r="C24" s="68" t="n">
        <v>0</v>
      </c>
      <c r="D24" s="68" t="n">
        <v>0.003</v>
      </c>
      <c r="E24" s="68" t="n">
        <v>0.008</v>
      </c>
      <c r="F24" s="68" t="n">
        <v>0.015</v>
      </c>
      <c r="G24" s="68" t="n">
        <v>0.04</v>
      </c>
      <c r="I24" s="118" t="inlineStr">
        <is>
          <t>2026 is an integration year — no revenue modelled.</t>
        </is>
      </c>
    </row>
    <row r="25">
      <c r="B25" s="58" t="inlineStr">
        <is>
          <t>Paid challenges</t>
        </is>
      </c>
      <c r="C25" s="69">
        <f>$C$20*C24</f>
        <v/>
      </c>
      <c r="D25" s="69">
        <f>$C$20*D24</f>
        <v/>
      </c>
      <c r="E25" s="69">
        <f>$C$20*E24</f>
        <v/>
      </c>
      <c r="F25" s="69">
        <f>$C$20*F24</f>
        <v/>
      </c>
      <c r="G25" s="69">
        <f>$C$20*G24</f>
        <v/>
      </c>
    </row>
    <row r="26">
      <c r="B26" s="58" t="inlineStr">
        <is>
          <t>Gross entry revenue ($)</t>
        </is>
      </c>
      <c r="C26" s="70">
        <f>C25*$C$11</f>
        <v/>
      </c>
      <c r="D26" s="70">
        <f>D25*$C$11</f>
        <v/>
      </c>
      <c r="E26" s="70">
        <f>E25*$C$11</f>
        <v/>
      </c>
      <c r="F26" s="70">
        <f>F25*$C$11</f>
        <v/>
      </c>
      <c r="G26" s="70">
        <f>G25*$C$11</f>
        <v/>
      </c>
    </row>
    <row r="27">
      <c r="B27" s="66" t="inlineStr">
        <is>
          <t>Revenue to Get Lucky ($)</t>
        </is>
      </c>
      <c r="C27" s="71">
        <f>C26*$C$13</f>
        <v/>
      </c>
      <c r="D27" s="71">
        <f>D26*$C$13</f>
        <v/>
      </c>
      <c r="E27" s="71">
        <f>E26*$C$13</f>
        <v/>
      </c>
      <c r="F27" s="71">
        <f>F26*$C$13</f>
        <v/>
      </c>
      <c r="G27" s="71">
        <f>G26*$C$13</f>
        <v/>
      </c>
      <c r="I27" s="118" t="inlineStr">
        <is>
          <t>This row feeds the Valuation tab (2026 = col C, 2029 = col F, 2032 = col G).</t>
        </is>
      </c>
    </row>
    <row r="28">
      <c r="B28" s="58" t="inlineStr">
        <is>
          <t>EBITDA contribution ($)</t>
        </is>
      </c>
      <c r="C28" s="70">
        <f>C27*$C$17</f>
        <v/>
      </c>
      <c r="D28" s="70">
        <f>D27*$C$17</f>
        <v/>
      </c>
      <c r="E28" s="70">
        <f>E27*$C$17</f>
        <v/>
      </c>
      <c r="F28" s="70">
        <f>F27*$C$17</f>
        <v/>
      </c>
      <c r="G28" s="70">
        <f>G27*$C$17</f>
        <v/>
      </c>
    </row>
    <row r="29">
      <c r="B29" s="58" t="inlineStr">
        <is>
          <t>Memo — revenue to Get Lucky (ZAR)</t>
        </is>
      </c>
      <c r="C29" s="72">
        <f>C27*Assumptions!$C$10</f>
        <v/>
      </c>
      <c r="D29" s="72">
        <f>D27*Assumptions!$C$10</f>
        <v/>
      </c>
      <c r="E29" s="72">
        <f>E27*Assumptions!$C$10</f>
        <v/>
      </c>
      <c r="F29" s="72">
        <f>F27*Assumptions!$C$10</f>
        <v/>
      </c>
      <c r="G29" s="72">
        <f>G27*Assumptions!$C$10</f>
        <v/>
      </c>
    </row>
    <row r="31">
      <c r="B31" s="57" t="inlineStr">
        <is>
          <t>ADOPTION RANGE — 2029</t>
        </is>
      </c>
      <c r="C31" s="57" t="inlineStr"/>
      <c r="D31" s="57" t="inlineStr"/>
      <c r="E31" s="57" t="inlineStr"/>
      <c r="F31" s="57" t="inlineStr"/>
      <c r="G31" s="57" t="inlineStr"/>
      <c r="H31" s="57" t="inlineStr"/>
      <c r="I31" s="57" t="inlineStr"/>
      <c r="J31" s="77" t="n"/>
    </row>
    <row r="32">
      <c r="B32" s="67" t="inlineStr">
        <is>
          <t>Attach rate</t>
        </is>
      </c>
      <c r="C32" s="67" t="inlineStr">
        <is>
          <t>Simulator revenue ($)</t>
        </is>
      </c>
      <c r="D32" s="67" t="inlineStr">
        <is>
          <t>Upsell revenue ($)</t>
        </is>
      </c>
      <c r="E32" s="67" t="inlineStr">
        <is>
          <t>Total revenue ($)</t>
        </is>
      </c>
      <c r="F32" s="67" t="inlineStr">
        <is>
          <t>Valuation ($)</t>
        </is>
      </c>
      <c r="G32" s="67" t="inlineStr">
        <is>
          <t>Valuation (ZAR)</t>
        </is>
      </c>
      <c r="H32" s="67" t="inlineStr">
        <is>
          <t>Investor multiple</t>
        </is>
      </c>
      <c r="I32" s="77" t="n"/>
      <c r="J32" s="77" t="n"/>
    </row>
    <row r="33">
      <c r="B33" s="68" t="n">
        <v>0.005</v>
      </c>
      <c r="C33" s="70">
        <f>$C$20*B33*$C$11*$C$13</f>
        <v/>
      </c>
      <c r="D33" s="70">
        <f>(Valuation!$D$6*Upsells!$C$22*12*Upsells!$C$16*Upsells!$C$17+$C$20*B33*Upsells!$C$18*Upsells!$C$19)*Upsells!$C$20</f>
        <v/>
      </c>
      <c r="E33" s="70">
        <f>Valuation!$D$9+Valuation!$D$11+C33+D33</f>
        <v/>
      </c>
      <c r="F33" s="70">
        <f>E33*Assumptions!$C$29</f>
        <v/>
      </c>
      <c r="G33" s="73">
        <f>F33*Assumptions!$C$10</f>
        <v/>
      </c>
      <c r="H33" s="89">
        <f>F33/Assumptions!$C$7</f>
        <v/>
      </c>
      <c r="I33" s="97" t="n"/>
      <c r="J33" s="118" t="inlineStr">
        <is>
          <t>conservative</t>
        </is>
      </c>
    </row>
    <row r="34">
      <c r="B34" s="68" t="n">
        <v>0.015</v>
      </c>
      <c r="C34" s="70">
        <f>$C$20*B34*$C$11*$C$13</f>
        <v/>
      </c>
      <c r="D34" s="70">
        <f>(Valuation!$D$6*Upsells!$C$22*12*Upsells!$C$16*Upsells!$C$17+$C$20*B34*Upsells!$C$18*Upsells!$C$19)*Upsells!$C$20</f>
        <v/>
      </c>
      <c r="E34" s="70">
        <f>Valuation!$D$9+Valuation!$D$11+C34+D34</f>
        <v/>
      </c>
      <c r="F34" s="70">
        <f>E34*Assumptions!$C$29</f>
        <v/>
      </c>
      <c r="G34" s="73">
        <f>F34*Assumptions!$C$10</f>
        <v/>
      </c>
      <c r="H34" s="89">
        <f>F34/Assumptions!$C$7</f>
        <v/>
      </c>
      <c r="I34" s="97" t="n"/>
      <c r="J34" s="118" t="inlineStr">
        <is>
          <t>the plan</t>
        </is>
      </c>
    </row>
    <row r="35">
      <c r="B35" s="68" t="n">
        <v>0.03</v>
      </c>
      <c r="C35" s="70">
        <f>$C$20*B35*$C$11*$C$13</f>
        <v/>
      </c>
      <c r="D35" s="70">
        <f>(Valuation!$D$6*Upsells!$C$22*12*Upsells!$C$16*Upsells!$C$17+$C$20*B35*Upsells!$C$18*Upsells!$C$19)*Upsells!$C$20</f>
        <v/>
      </c>
      <c r="E35" s="70">
        <f>Valuation!$D$9+Valuation!$D$11+C35+D35</f>
        <v/>
      </c>
      <c r="F35" s="70">
        <f>E35*Assumptions!$C$29</f>
        <v/>
      </c>
      <c r="G35" s="73">
        <f>F35*Assumptions!$C$10</f>
        <v/>
      </c>
      <c r="H35" s="89">
        <f>F35/Assumptions!$C$7</f>
        <v/>
      </c>
      <c r="I35" s="97" t="n"/>
      <c r="J35" s="118" t="inlineStr">
        <is>
          <t>strong adoption</t>
        </is>
      </c>
    </row>
    <row r="36">
      <c r="B36" s="119" t="n"/>
      <c r="C36" s="120" t="n"/>
      <c r="D36" s="120" t="n"/>
      <c r="E36" s="120" t="n"/>
      <c r="F36" s="102" t="n"/>
      <c r="G36" s="121" t="n"/>
      <c r="H36" s="77" t="n"/>
      <c r="I36" s="97" t="n"/>
      <c r="J36" s="77" t="n"/>
    </row>
    <row r="37">
      <c r="B37" s="77" t="n"/>
      <c r="C37" s="77" t="n"/>
      <c r="D37" s="77" t="n"/>
      <c r="E37" s="77" t="n"/>
      <c r="F37" s="77" t="n"/>
      <c r="G37" s="77" t="n"/>
      <c r="H37" s="77" t="n"/>
      <c r="I37" s="77" t="n"/>
      <c r="J37" s="77" t="n"/>
    </row>
    <row r="38">
      <c r="B38" s="118" t="inlineStr">
        <is>
          <t>The adoption range around the plan, with courses &amp; app and territory sponsorship held at plan. Upsell revenue moves with simulator volume, so it is recomputed per row rather than held flat. Investor multiple = company valuation at the 2029 milestone divided by the post-money valuation of this round.</t>
        </is>
      </c>
      <c r="C38" s="77" t="n"/>
      <c r="D38" s="77" t="n"/>
      <c r="E38" s="77" t="n"/>
      <c r="F38" s="77" t="n"/>
      <c r="G38" s="77" t="n"/>
      <c r="H38" s="77" t="n"/>
      <c r="I38" s="77" t="n"/>
      <c r="J38" s="77" t="n"/>
    </row>
    <row r="39">
      <c r="B39" s="77" t="n"/>
      <c r="C39" s="77" t="n"/>
      <c r="D39" s="77" t="n"/>
      <c r="E39" s="77" t="n"/>
      <c r="F39" s="77" t="n"/>
      <c r="G39" s="77" t="n"/>
      <c r="H39" s="77" t="n"/>
      <c r="I39" s="77" t="n"/>
      <c r="J39" s="77"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24"/>
  <sheetViews>
    <sheetView showGridLines="0" workbookViewId="0">
      <selection activeCell="A1" sqref="A1"/>
    </sheetView>
  </sheetViews>
  <sheetFormatPr baseColWidth="8" defaultRowHeight="15"/>
  <cols>
    <col width="2" customWidth="1" min="1" max="1"/>
    <col width="30" customWidth="1" min="2" max="2"/>
    <col width="40" customWidth="1" min="3" max="3"/>
    <col width="12" customWidth="1" min="4" max="4"/>
    <col width="16" customWidth="1" min="5" max="5"/>
    <col width="16" customWidth="1" min="6" max="6"/>
    <col width="16" customWidth="1" min="7" max="7"/>
    <col width="3" customWidth="1" min="8" max="8"/>
    <col width="52" customWidth="1" min="9" max="9"/>
  </cols>
  <sheetData>
    <row r="2">
      <c r="B2" s="55" t="inlineStr">
        <is>
          <t>TERRITORY SPONSORSHIP</t>
        </is>
      </c>
    </row>
    <row r="3">
      <c r="B3" s="56" t="inlineStr">
        <is>
          <t>Blue = change me.  Yellow = key assumption.  Black = calculated.</t>
        </is>
      </c>
    </row>
    <row r="5">
      <c r="B5" s="57" t="inlineStr">
        <is>
          <t>THE PROOF POINT</t>
        </is>
      </c>
      <c r="C5" s="57" t="inlineStr"/>
      <c r="D5" s="57" t="inlineStr"/>
      <c r="E5" s="57" t="inlineStr"/>
      <c r="F5" s="57" t="inlineStr"/>
      <c r="G5" s="57" t="inlineStr"/>
    </row>
    <row r="6">
      <c r="B6" s="58" t="inlineStr">
        <is>
          <t>Market</t>
        </is>
      </c>
      <c r="C6" s="58" t="inlineStr">
        <is>
          <t>South Africa</t>
        </is>
      </c>
      <c r="E6" s="118" t="inlineStr">
        <is>
          <t>Sponsorship is the one line in the plan that was signed rather than forecast.</t>
        </is>
      </c>
    </row>
    <row r="7">
      <c r="B7" s="58" t="inlineStr">
        <is>
          <t>Partner</t>
        </is>
      </c>
      <c r="C7" s="58" t="inlineStr">
        <is>
          <t>Santam (Authorised FSP 3416)</t>
        </is>
      </c>
    </row>
    <row r="8">
      <c r="B8" s="58" t="inlineStr">
        <is>
          <t>Status</t>
        </is>
      </c>
      <c r="C8" s="91" t="inlineStr">
        <is>
          <t>CONTRACTED</t>
        </is>
      </c>
    </row>
    <row r="9">
      <c r="B9" s="58" t="inlineStr">
        <is>
          <t>Deal value (ZAR)</t>
        </is>
      </c>
      <c r="C9" s="73" t="n">
        <v>9000000</v>
      </c>
      <c r="E9" s="118" t="inlineStr">
        <is>
          <t>R9m over three years, in a market of roughly 150,000 golfers.</t>
        </is>
      </c>
    </row>
    <row r="10">
      <c r="B10" s="58" t="inlineStr">
        <is>
          <t>Year 1 / 2 / 3 (ZAR)</t>
        </is>
      </c>
      <c r="C10" s="58" t="inlineStr">
        <is>
          <t>R2.5m  -&gt;  R3.0m  -&gt;  R3.5m</t>
        </is>
      </c>
    </row>
    <row r="11">
      <c r="B11" s="58" t="inlineStr">
        <is>
          <t>Golfer market</t>
        </is>
      </c>
      <c r="C11" s="69" t="n">
        <v>150000</v>
      </c>
      <c r="E11" s="118" t="inlineStr">
        <is>
          <t>The insurer who underwrites the prize is the natural sponsor of it — which is why the deal was signable in a small market and why it repeats in large ones.</t>
        </is>
      </c>
    </row>
    <row r="13">
      <c r="B13" s="118" t="inlineStr">
        <is>
          <t>South African sponsorship already sits in the "Sponsorship revenue" row of the Valuation tab, off the monthly build. This tab models NEW territories only, so nothing is double-counted.</t>
        </is>
      </c>
    </row>
    <row r="15">
      <c r="B15" s="57" t="inlineStr">
        <is>
          <t>NEW TERRITORIES</t>
        </is>
      </c>
      <c r="C15" s="57" t="inlineStr"/>
      <c r="D15" s="57" t="inlineStr"/>
      <c r="E15" s="57" t="inlineStr"/>
      <c r="F15" s="57" t="inlineStr"/>
      <c r="G15" s="57" t="inlineStr"/>
    </row>
    <row r="16">
      <c r="B16" s="67" t="inlineStr">
        <is>
          <t>Market</t>
        </is>
      </c>
      <c r="C16" s="67" t="inlineStr">
        <is>
          <t>Anchor partner</t>
        </is>
      </c>
      <c r="D16" s="67" t="inlineStr">
        <is>
          <t>Entry</t>
        </is>
      </c>
      <c r="E16" s="67" t="inlineStr">
        <is>
          <t>2026</t>
        </is>
      </c>
      <c r="F16" s="67" t="inlineStr">
        <is>
          <t>2029</t>
        </is>
      </c>
      <c r="G16" s="67" t="inlineStr">
        <is>
          <t>2032</t>
        </is>
      </c>
    </row>
    <row r="17">
      <c r="B17" s="58" t="inlineStr">
        <is>
          <t>United States</t>
        </is>
      </c>
      <c r="C17" s="58" t="inlineStr">
        <is>
          <t>Anchor insurer partner — appointed at market entry</t>
        </is>
      </c>
      <c r="D17" s="94" t="n">
        <v>2029</v>
      </c>
      <c r="E17" s="95" t="n">
        <v>0</v>
      </c>
      <c r="F17" s="95" t="n">
        <v>2000000</v>
      </c>
      <c r="G17" s="95" t="n">
        <v>4000000</v>
      </c>
      <c r="I17" s="118" t="inlineStr">
        <is>
          <t>Live input — set each territory to what you believe.</t>
        </is>
      </c>
    </row>
    <row r="18">
      <c r="B18" s="58" t="inlineStr">
        <is>
          <t>Europe</t>
        </is>
      </c>
      <c r="C18" s="58" t="inlineStr">
        <is>
          <t>Anchor insurer partner — appointed at market entry</t>
        </is>
      </c>
      <c r="D18" s="94" t="n">
        <v>2030</v>
      </c>
      <c r="E18" s="95" t="n">
        <v>0</v>
      </c>
      <c r="F18" s="95" t="n">
        <v>0</v>
      </c>
      <c r="G18" s="95" t="n">
        <v>3000000</v>
      </c>
    </row>
    <row r="19">
      <c r="B19" s="58" t="inlineStr">
        <is>
          <t>Japan</t>
        </is>
      </c>
      <c r="C19" s="58" t="inlineStr">
        <is>
          <t>Anchor insurer partner — appointed at market entry</t>
        </is>
      </c>
      <c r="D19" s="94" t="n">
        <v>2031</v>
      </c>
      <c r="E19" s="95" t="n">
        <v>0</v>
      </c>
      <c r="F19" s="95" t="n">
        <v>0</v>
      </c>
      <c r="G19" s="95" t="n">
        <v>2000000</v>
      </c>
    </row>
    <row r="20">
      <c r="B20" s="66" t="inlineStr">
        <is>
          <t>Total new-territory sponsorship (ZAR)</t>
        </is>
      </c>
      <c r="E20" s="96">
        <f>SUM(E17:E19)</f>
        <v/>
      </c>
      <c r="F20" s="96">
        <f>SUM(F17:F19)</f>
        <v/>
      </c>
      <c r="G20" s="96">
        <f>SUM(G17:G19)</f>
        <v/>
      </c>
    </row>
    <row r="21">
      <c r="B21" s="66" t="inlineStr">
        <is>
          <t>Total new-territory sponsorship ($)</t>
        </is>
      </c>
      <c r="E21" s="71">
        <f>E20/Assumptions!$C$10</f>
        <v/>
      </c>
      <c r="F21" s="71">
        <f>F20/Assumptions!$C$10</f>
        <v/>
      </c>
      <c r="G21" s="71">
        <f>G20/Assumptions!$C$10</f>
        <v/>
      </c>
      <c r="I21" s="118" t="inlineStr">
        <is>
          <t>This row feeds the Valuation tab (2026 = col E, 2029 = col F, 2032 = col G).</t>
        </is>
      </c>
    </row>
    <row r="22">
      <c r="B22" s="58" t="inlineStr">
        <is>
          <t>EBITDA margin on sponsorship</t>
        </is>
      </c>
      <c r="C22" s="62" t="n">
        <v>0.52</v>
      </c>
      <c r="E22" s="118" t="inlineStr">
        <is>
          <t>After local activation, partner servicing and market-entry cost.</t>
        </is>
      </c>
    </row>
    <row r="24">
      <c r="B24" s="118" t="inlineStr">
        <is>
          <t>Every new-territory figure is set BELOW the South African run-rate at entry, in markets many times its size. Sponsorship is negotiated and lumpy: a linear scale off golfer counts would produce numbers no sponsor would sign. New-territory partners are appointed as each market opens and are not yet in place.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I30"/>
  <sheetViews>
    <sheetView showGridLines="0" workbookViewId="0">
      <selection activeCell="A1" sqref="A1"/>
    </sheetView>
  </sheetViews>
  <sheetFormatPr baseColWidth="8" defaultRowHeight="15"/>
  <cols>
    <col width="2" customWidth="1" min="1" max="1"/>
    <col width="30" customWidth="1" min="2" max="2"/>
    <col width="14" customWidth="1" min="3" max="3"/>
    <col width="12" customWidth="1" min="4" max="4"/>
    <col width="18" customWidth="1" min="5" max="5"/>
    <col width="18" customWidth="1" min="6" max="6"/>
    <col width="18" customWidth="1" min="7" max="7"/>
    <col width="3" customWidth="1" min="8" max="8"/>
    <col width="60" customWidth="1" min="9" max="9"/>
  </cols>
  <sheetData>
    <row r="2">
      <c r="B2" s="55" t="inlineStr">
        <is>
          <t>IN-PLAY UPSELLS</t>
        </is>
      </c>
    </row>
    <row r="3">
      <c r="B3" s="56" t="inlineStr">
        <is>
          <t>Blue = change me.  Yellow = key assumption.  Black = calculated.</t>
        </is>
      </c>
    </row>
    <row r="4">
      <c r="B4" s="118" t="inlineStr">
        <is>
          <t>Sold AFTER the entry, when the golfer has already paid and is standing over the ball. Upsells attach to attempts already in the model — they never create new volume, so there is no double-count.</t>
        </is>
      </c>
    </row>
    <row r="6">
      <c r="B6" s="57" t="inlineStr">
        <is>
          <t>THE MENU</t>
        </is>
      </c>
      <c r="C6" s="57" t="inlineStr"/>
      <c r="D6" s="57" t="inlineStr"/>
      <c r="E6" s="57" t="inlineStr"/>
      <c r="F6" s="57" t="inlineStr"/>
      <c r="G6" s="57" t="inlineStr"/>
    </row>
    <row r="7">
      <c r="B7" s="67" t="inlineStr">
        <is>
          <t>Upsell</t>
        </is>
      </c>
      <c r="C7" s="67" t="inlineStr">
        <is>
          <t>Price</t>
        </is>
      </c>
      <c r="D7" s="67" t="inlineStr">
        <is>
          <t>Insured</t>
        </is>
      </c>
      <c r="E7" s="67" t="inlineStr">
        <is>
          <t>What it does</t>
        </is>
      </c>
    </row>
    <row r="8">
      <c r="B8" s="58" t="inlineStr">
        <is>
          <t>Jackpot upgrade</t>
        </is>
      </c>
      <c r="C8" s="58" t="inlineStr">
        <is>
          <t>$100</t>
        </is>
      </c>
      <c r="D8" s="58" t="inlineStr">
        <is>
          <t>Yes</t>
        </is>
      </c>
      <c r="E8" s="117" t="inlineStr">
        <is>
          <t>Trade up mid-round to a shot at a $100,000 insured prize instead of the standard pot.</t>
        </is>
      </c>
    </row>
    <row r="9">
      <c r="B9" s="58" t="inlineStr">
        <is>
          <t>Double up</t>
        </is>
      </c>
      <c r="C9" s="58" t="inlineStr">
        <is>
          <t>$5</t>
        </is>
      </c>
      <c r="D9" s="58" t="inlineStr">
        <is>
          <t>Yes</t>
        </is>
      </c>
      <c r="E9" s="117" t="inlineStr">
        <is>
          <t>Doubles the prize if the shot goes in. Cheapest yes on the menu, highest attach.</t>
        </is>
      </c>
    </row>
    <row r="10">
      <c r="B10" s="58" t="inlineStr">
        <is>
          <t>Three for two</t>
        </is>
      </c>
      <c r="C10" s="58" t="inlineStr">
        <is>
          <t>2x entry</t>
        </is>
      </c>
      <c r="D10" s="58" t="inlineStr">
        <is>
          <t>Yes</t>
        </is>
      </c>
      <c r="E10" s="117" t="inlineStr">
        <is>
          <t>Three swings for the price of two. More attempts per visit, same prize exposure.</t>
        </is>
      </c>
    </row>
    <row r="11">
      <c r="B11" s="58" t="inlineStr">
        <is>
          <t>Nearest the pin</t>
        </is>
      </c>
      <c r="C11" s="58" t="inlineStr">
        <is>
          <t>$3</t>
        </is>
      </c>
      <c r="D11" s="58" t="inlineStr">
        <is>
          <t>Yes</t>
        </is>
      </c>
      <c r="E11" s="117" t="inlineStr">
        <is>
          <t>Guaranteed prize inside three feet — monetises the 12,499 shots in 12,500 that are not an ace.</t>
        </is>
      </c>
    </row>
    <row r="12">
      <c r="B12" s="58" t="inlineStr">
        <is>
          <t>The highlight reel</t>
        </is>
      </c>
      <c r="C12" s="58" t="inlineStr">
        <is>
          <t>$3</t>
        </is>
      </c>
      <c r="D12" s="58" t="inlineStr">
        <is>
          <t>No</t>
        </is>
      </c>
      <c r="E12" s="117" t="inlineStr">
        <is>
          <t>The produced clip, scored and branded. No insurance component: pure margin, and every share is marketing.</t>
        </is>
      </c>
    </row>
    <row r="13">
      <c r="B13" s="58" t="inlineStr">
        <is>
          <t>The group pot</t>
        </is>
      </c>
      <c r="C13" s="58" t="inlineStr">
        <is>
          <t>$10 a head</t>
        </is>
      </c>
      <c r="D13" s="58" t="inlineStr">
        <is>
          <t>No</t>
        </is>
      </c>
      <c r="E13" s="117" t="inlineStr">
        <is>
          <t>A fourball buys in, closest to the pin takes the pot, Get Lucky takes a fee.</t>
        </is>
      </c>
    </row>
    <row r="15">
      <c r="B15" s="57" t="inlineStr">
        <is>
          <t>ATTACH ASSUMPTIONS</t>
        </is>
      </c>
      <c r="C15" s="57" t="inlineStr"/>
      <c r="D15" s="57" t="inlineStr"/>
      <c r="E15" s="57" t="inlineStr"/>
      <c r="F15" s="57" t="inlineStr"/>
      <c r="G15" s="57" t="inlineStr"/>
    </row>
    <row r="16">
      <c r="B16" s="58" t="inlineStr">
        <is>
          <t>Course &amp; app — attach rate</t>
        </is>
      </c>
      <c r="C16" s="62" t="n">
        <v>0.12</v>
      </c>
      <c r="I16" s="118" t="inlineStr">
        <is>
          <t>Share of subscriber rounds that buy at least one upsell. This golfer already pays ~R200 a swing.</t>
        </is>
      </c>
    </row>
    <row r="17">
      <c r="B17" s="58" t="inlineStr">
        <is>
          <t>Course &amp; app — average spend ($)</t>
        </is>
      </c>
      <c r="C17" s="107" t="n">
        <v>5</v>
      </c>
      <c r="I17" s="118" t="inlineStr">
        <is>
          <t>Blend across the menu on an attaching entry.</t>
        </is>
      </c>
    </row>
    <row r="18">
      <c r="B18" s="58" t="inlineStr">
        <is>
          <t>Simulator — attach rate</t>
        </is>
      </c>
      <c r="C18" s="62" t="n">
        <v>0.05</v>
      </c>
      <c r="I18" s="118" t="inlineStr">
        <is>
          <t>Lower: the base simulator entry is $1, so the ask has to be smaller.</t>
        </is>
      </c>
    </row>
    <row r="19">
      <c r="B19" s="58" t="inlineStr">
        <is>
          <t>Simulator — average spend ($)</t>
        </is>
      </c>
      <c r="C19" s="107" t="n">
        <v>2</v>
      </c>
      <c r="I19" s="118" t="inlineStr">
        <is>
          <t>Blend across the menu inside a simulator.</t>
        </is>
      </c>
    </row>
    <row r="20">
      <c r="B20" s="58" t="inlineStr">
        <is>
          <t>Get Lucky net share</t>
        </is>
      </c>
      <c r="C20" s="62" t="n">
        <v>0.55</v>
      </c>
      <c r="I20" s="118" t="inlineStr">
        <is>
          <t>After course or operator share and insurance. Higher than the 46% simulator entry share because part of the menu (highlight reel, group pot) carries no insurance.</t>
        </is>
      </c>
    </row>
    <row r="21">
      <c r="B21" s="58" t="inlineStr">
        <is>
          <t>EBITDA margin</t>
        </is>
      </c>
      <c r="C21" s="62" t="n">
        <v>0.6</v>
      </c>
      <c r="I21" s="118" t="inlineStr">
        <is>
          <t>After product build, merchandising and payment costs.</t>
        </is>
      </c>
    </row>
    <row r="22">
      <c r="B22" s="58" t="inlineStr">
        <is>
          <t>Rounds per subscriber per month</t>
        </is>
      </c>
      <c r="C22" s="108">
        <f>Assumptions!$C$36</f>
        <v/>
      </c>
    </row>
    <row r="24">
      <c r="B24" s="57" t="inlineStr">
        <is>
          <t>VOLUME &amp; REVENUE</t>
        </is>
      </c>
      <c r="C24" s="57" t="inlineStr"/>
      <c r="D24" s="57" t="inlineStr"/>
      <c r="E24" s="57" t="inlineStr"/>
      <c r="F24" s="57" t="inlineStr"/>
      <c r="G24" s="57" t="inlineStr"/>
    </row>
    <row r="25">
      <c r="B25" s="66" t="inlineStr">
        <is>
          <t>Metric</t>
        </is>
      </c>
      <c r="E25" s="67" t="inlineStr">
        <is>
          <t>2026</t>
        </is>
      </c>
      <c r="F25" s="67" t="inlineStr">
        <is>
          <t>2029</t>
        </is>
      </c>
      <c r="G25" s="67" t="inlineStr">
        <is>
          <t>2032</t>
        </is>
      </c>
    </row>
    <row r="26">
      <c r="B26" s="58" t="inlineStr">
        <is>
          <t>Subscriber rounds (attempts/yr)</t>
        </is>
      </c>
      <c r="E26" s="69">
        <f>Valuation!C6*$C$22*12</f>
        <v/>
      </c>
      <c r="F26" s="69">
        <f>Valuation!D6*$C$22*12</f>
        <v/>
      </c>
      <c r="G26" s="69">
        <f>Valuation!E6*$C$22*12</f>
        <v/>
      </c>
    </row>
    <row r="27">
      <c r="B27" s="58" t="inlineStr">
        <is>
          <t>Simulator challenges</t>
        </is>
      </c>
      <c r="E27" s="108">
        <f>Simulator!C25</f>
        <v/>
      </c>
      <c r="F27" s="108">
        <f>Simulator!F25</f>
        <v/>
      </c>
      <c r="G27" s="108">
        <f>Simulator!G25</f>
        <v/>
      </c>
    </row>
    <row r="28">
      <c r="B28" s="58" t="inlineStr">
        <is>
          <t>Gross upsell revenue ($)</t>
        </is>
      </c>
      <c r="E28" s="70">
        <f>0</f>
        <v/>
      </c>
      <c r="F28" s="70">
        <f>F26*$C$16*$C$17+F27*$C$18*$C$19</f>
        <v/>
      </c>
      <c r="G28" s="70">
        <f>G26*$C$16*$C$17+G27*$C$18*$C$19</f>
        <v/>
      </c>
      <c r="I28" s="118" t="inlineStr">
        <is>
          <t>The menu ships with the app build in 2027, so 2026 is set to zero.</t>
        </is>
      </c>
    </row>
    <row r="29">
      <c r="B29" s="66" t="inlineStr">
        <is>
          <t>Revenue to Get Lucky ($)</t>
        </is>
      </c>
      <c r="E29" s="71">
        <f>E28*$C$20</f>
        <v/>
      </c>
      <c r="F29" s="71">
        <f>F28*$C$20</f>
        <v/>
      </c>
      <c r="G29" s="71">
        <f>G28*$C$20</f>
        <v/>
      </c>
      <c r="I29" s="118" t="inlineStr">
        <is>
          <t>This row feeds the Valuation tab (2026 = col E, 2029 = col F, 2032 = col G).</t>
        </is>
      </c>
    </row>
    <row r="30">
      <c r="B30" s="58" t="inlineStr">
        <is>
          <t>Memo — revenue to Get Lucky (ZAR)</t>
        </is>
      </c>
      <c r="E30" s="72">
        <f>E29*Assumptions!$C$10</f>
        <v/>
      </c>
      <c r="F30" s="72">
        <f>F29*Assumptions!$C$10</f>
        <v/>
      </c>
      <c r="G30" s="72">
        <f>G29*Assumptions!$C$10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G41"/>
  <sheetViews>
    <sheetView showGridLines="0" tabSelected="1" zoomScaleNormal="100" workbookViewId="0">
      <selection activeCell="C6" sqref="C6"/>
    </sheetView>
  </sheetViews>
  <sheetFormatPr baseColWidth="10" defaultColWidth="8.6640625" defaultRowHeight="15"/>
  <cols>
    <col width="2" customWidth="1" min="1" max="1"/>
    <col width="40" customWidth="1" min="2" max="2"/>
    <col width="18" customWidth="1" min="3" max="5"/>
    <col width="3" customWidth="1" min="6" max="6"/>
    <col width="60" customWidth="1" min="7" max="7"/>
  </cols>
  <sheetData>
    <row r="2" ht="27.75" customHeight="1">
      <c r="B2" s="48" t="inlineStr">
        <is>
          <t>VALUATION BRIDGE</t>
        </is>
      </c>
    </row>
    <row r="3">
      <c r="B3" s="49" t="inlineStr">
        <is>
          <t>Annual roll-up of the monthly build, then the valuation walk to the pitch milestones.</t>
        </is>
      </c>
    </row>
    <row r="5" ht="19.5" customHeight="1">
      <c r="B5" s="75" t="inlineStr">
        <is>
          <t>Metric</t>
        </is>
      </c>
      <c r="C5" s="76" t="inlineStr">
        <is>
          <t>2026</t>
        </is>
      </c>
      <c r="D5" s="76" t="inlineStr">
        <is>
          <t>2029 (Yr3 plan)</t>
        </is>
      </c>
      <c r="E5" s="76" t="inlineStr">
        <is>
          <t>2032 (Exit vision)</t>
        </is>
      </c>
      <c r="F5" s="77" t="n"/>
      <c r="G5" s="77" t="n"/>
    </row>
    <row r="6">
      <c r="B6" s="58" t="inlineStr">
        <is>
          <t>Subscribers/ Entries</t>
        </is>
      </c>
      <c r="C6" s="78">
        <f>'Build (Monthly)'!C10</f>
        <v/>
      </c>
      <c r="D6" s="78">
        <f>'Build (Monthly)'!AL10</f>
        <v/>
      </c>
      <c r="E6" s="78">
        <f>'Build (Monthly)'!AL10*(1+Assumptions!$C$35)^48</f>
        <v/>
      </c>
      <c r="F6" s="77" t="n"/>
      <c r="G6" s="118" t="inlineStr">
        <is>
          <t>2032 extends the Yr3 exit ramp</t>
        </is>
      </c>
    </row>
    <row r="7">
      <c r="B7" s="58" t="inlineStr">
        <is>
          <t>Subscription ARR ($)</t>
        </is>
      </c>
      <c r="C7" s="79">
        <f>SUM('Build (Monthly)'!C11:N11)</f>
        <v/>
      </c>
      <c r="D7" s="79">
        <f>'Build (Monthly)'!AL11*12</f>
        <v/>
      </c>
      <c r="E7" s="79">
        <f>E6*Assumptions!$C$8*12</f>
        <v/>
      </c>
      <c r="F7" s="77" t="n"/>
      <c r="G7" s="118" t="inlineStr">
        <is>
          <t>Sum of MRR across months 1-12 (actual 2026 revenue)</t>
        </is>
      </c>
    </row>
    <row r="8">
      <c r="B8" s="58" t="inlineStr">
        <is>
          <t>Sponsorship revenue — South Africa ($)</t>
        </is>
      </c>
      <c r="C8" s="79">
        <f>SUM('Build (Monthly)'!C14:N14)</f>
        <v/>
      </c>
      <c r="D8" s="79">
        <f>'Build (Monthly)'!AL14*12</f>
        <v/>
      </c>
      <c r="E8" s="79">
        <f>Assumptions!$C$34*E6/$C$6</f>
        <v/>
      </c>
      <c r="F8" s="77" t="n"/>
      <c r="G8" s="118" t="inlineStr">
        <is>
          <t>The contracted Santam deal, off the monthly build</t>
        </is>
      </c>
    </row>
    <row r="9">
      <c r="B9" s="66" t="inlineStr">
        <is>
          <t>Courses &amp; app subscription ($)</t>
        </is>
      </c>
      <c r="C9" s="80">
        <f>C7+C8</f>
        <v/>
      </c>
      <c r="D9" s="80">
        <f>D7+D8</f>
        <v/>
      </c>
      <c r="E9" s="80">
        <f>E7+E8</f>
        <v/>
      </c>
      <c r="F9" s="77" t="n"/>
      <c r="G9" s="118" t="inlineStr">
        <is>
          <t>Installed courses, membership and the global app subscription, plus contracted South African sponsorship</t>
        </is>
      </c>
    </row>
    <row r="10">
      <c r="B10" s="58" t="inlineStr">
        <is>
          <t>Simulator revenue ($)</t>
        </is>
      </c>
      <c r="C10" s="81">
        <f>Simulator!C27</f>
        <v/>
      </c>
      <c r="D10" s="81">
        <f>Simulator!F27</f>
        <v/>
      </c>
      <c r="E10" s="81">
        <f>Simulator!G27</f>
        <v/>
      </c>
      <c r="F10" s="77" t="n"/>
      <c r="G10" s="118" t="inlineStr">
        <is>
          <t>From the Simulator tab. Revenue stream 4, live from 2027; integration funded by this round.</t>
        </is>
      </c>
    </row>
    <row r="11" ht="36" customHeight="1">
      <c r="B11" s="58" t="inlineStr">
        <is>
          <t>Territory sponsorship ($)</t>
        </is>
      </c>
      <c r="C11" s="81">
        <f>Sponsorship!E21</f>
        <v/>
      </c>
      <c r="D11" s="81">
        <f>Sponsorship!F21</f>
        <v/>
      </c>
      <c r="E11" s="81">
        <f>Sponsorship!G21</f>
        <v/>
      </c>
      <c r="F11" s="77" t="n"/>
      <c r="G11" s="118" t="inlineStr">
        <is>
          <t>From the Sponsorship tab. The signed Santam deal repeated with an anchor insurer partner per new market.</t>
        </is>
      </c>
    </row>
    <row r="12">
      <c r="B12" s="58" t="inlineStr">
        <is>
          <t>In-play upsells ($)</t>
        </is>
      </c>
      <c r="C12" s="109">
        <f>Upsells!E29</f>
        <v/>
      </c>
      <c r="D12" s="109">
        <f>Upsells!F29</f>
        <v/>
      </c>
      <c r="E12" s="109">
        <f>Upsells!G29</f>
        <v/>
      </c>
      <c r="F12" s="77" t="n"/>
      <c r="G12" s="118" t="inlineStr">
        <is>
          <t>From the Upsells tab. Attaches to attempts already counted above — never new volume.</t>
        </is>
      </c>
    </row>
    <row r="13" ht="18" customHeight="1">
      <c r="B13" s="110" t="inlineStr">
        <is>
          <t>Total annual revenue ($)</t>
        </is>
      </c>
      <c r="C13" s="71">
        <f>C9+C10+C11+C12</f>
        <v/>
      </c>
      <c r="D13" s="71">
        <f>D9+D10+D11+D12</f>
        <v/>
      </c>
      <c r="E13" s="71">
        <f>E9+E10+E11+E12</f>
        <v/>
      </c>
      <c r="F13" s="77" t="n"/>
      <c r="G13" s="118" t="inlineStr">
        <is>
          <t>Drives the valuation walk below.</t>
        </is>
      </c>
    </row>
    <row r="14" ht="24" customHeight="1">
      <c r="B14" s="58" t="inlineStr">
        <is>
          <t>Gross profit — courses &amp; app ($)</t>
        </is>
      </c>
      <c r="C14" s="79">
        <f>C9*Assumptions!$C$21</f>
        <v/>
      </c>
      <c r="D14" s="79">
        <f>D9*Assumptions!$C$21</f>
        <v/>
      </c>
      <c r="E14" s="79">
        <f>E9*Assumptions!$C$21</f>
        <v/>
      </c>
      <c r="F14" s="77" t="n"/>
      <c r="G14" s="97" t="n"/>
    </row>
    <row r="15">
      <c r="B15" s="58" t="inlineStr">
        <is>
          <t>EBITDA proxy — courses &amp; app ($)</t>
        </is>
      </c>
      <c r="C15" s="79">
        <f>C14-Assumptions!$C$25*12*(C6/$C$6)^Assumptions!$C$26-C9*Assumptions!$C$23</f>
        <v/>
      </c>
      <c r="D15" s="79">
        <f>D14-Assumptions!$C$25*12*(D6/$C$6)^Assumptions!$C$26-D9*Assumptions!$C$23</f>
        <v/>
      </c>
      <c r="E15" s="79">
        <f>E14-Assumptions!$C$25*12*(E6/$C$6)^Assumptions!$C$26-E9*Assumptions!$C$23</f>
        <v/>
      </c>
      <c r="F15" s="77" t="n"/>
      <c r="G15" s="118" t="inlineStr">
        <is>
          <t>GP less scaled opex less insurance premium. Prize payouts excluded — carried by the insurer.</t>
        </is>
      </c>
    </row>
    <row r="16" ht="24" customHeight="1">
      <c r="B16" s="58" t="inlineStr">
        <is>
          <t>EBITDA proxy — simulators ($)</t>
        </is>
      </c>
      <c r="C16" s="79">
        <f>C10*Simulator!$C$17</f>
        <v/>
      </c>
      <c r="D16" s="79">
        <f>D10*Simulator!$C$17</f>
        <v/>
      </c>
      <c r="E16" s="79">
        <f>E10*Simulator!$C$17</f>
        <v/>
      </c>
      <c r="F16" s="77" t="n"/>
      <c r="G16" s="83" t="n"/>
    </row>
    <row r="17">
      <c r="B17" s="58" t="inlineStr">
        <is>
          <t>EBITDA proxy — territory sponsorship ($)</t>
        </is>
      </c>
      <c r="C17" s="70">
        <f>C11*Sponsorship!$C$22</f>
        <v/>
      </c>
      <c r="D17" s="70">
        <f>D11*Sponsorship!$C$22</f>
        <v/>
      </c>
      <c r="E17" s="70">
        <f>E11*Sponsorship!$C$22</f>
        <v/>
      </c>
      <c r="F17" s="77" t="n"/>
      <c r="G17" s="83" t="n"/>
    </row>
    <row r="18">
      <c r="B18" s="98" t="inlineStr">
        <is>
          <t>EBITDA proxy — in-play upsells ($)</t>
        </is>
      </c>
      <c r="C18" s="116">
        <f>C12*Upsells!$C$21</f>
        <v/>
      </c>
      <c r="D18" s="116">
        <f>D12*Upsells!$C$21</f>
        <v/>
      </c>
      <c r="E18" s="116">
        <f>E12*Upsells!$C$21</f>
        <v/>
      </c>
      <c r="F18" s="86" t="n"/>
      <c r="G18" s="86" t="n"/>
    </row>
    <row r="19">
      <c r="B19" s="66" t="inlineStr">
        <is>
          <t>EBITDA proxy — total ($)</t>
        </is>
      </c>
      <c r="C19" s="71">
        <f>C15+C16+C17+C18</f>
        <v/>
      </c>
      <c r="D19" s="71">
        <f>D15+D16+D17+D18</f>
        <v/>
      </c>
      <c r="E19" s="71">
        <f>E15+E16+E17+E18</f>
        <v/>
      </c>
      <c r="F19" s="77" t="n"/>
      <c r="G19" s="97" t="n"/>
    </row>
    <row r="20">
      <c r="B20" s="98" t="inlineStr">
        <is>
          <t>EBITDA margin (% of total revenue)</t>
        </is>
      </c>
      <c r="C20" s="99">
        <f>IFERROR(C19/C13,0)</f>
        <v/>
      </c>
      <c r="D20" s="99">
        <f>IFERROR(D19/D13,0)</f>
        <v/>
      </c>
      <c r="E20" s="99">
        <f>IFERROR(E19/E13,0)</f>
        <v/>
      </c>
      <c r="F20" s="86" t="n"/>
      <c r="G20" s="86" t="n"/>
    </row>
    <row r="21">
      <c r="B21" s="77" t="n"/>
      <c r="C21" s="112" t="n"/>
      <c r="D21" s="112" t="n"/>
      <c r="E21" s="112" t="n"/>
      <c r="F21" s="77" t="n"/>
      <c r="G21" s="97" t="n"/>
    </row>
    <row r="22">
      <c r="B22" s="57" t="inlineStr">
        <is>
          <t>VALUATION WALK</t>
        </is>
      </c>
      <c r="C22" s="101" t="inlineStr"/>
      <c r="D22" s="101" t="inlineStr"/>
      <c r="E22" s="101" t="inlineStr"/>
      <c r="F22" s="57" t="inlineStr"/>
      <c r="G22" s="57" t="inlineStr"/>
    </row>
    <row r="23" ht="13" customFormat="1" customHeight="1" s="35">
      <c r="B23" s="58" t="inlineStr">
        <is>
          <t>Implied revenue multiple</t>
        </is>
      </c>
      <c r="C23" s="74">
        <f>Assumptions!$C$7/C13</f>
        <v/>
      </c>
      <c r="D23" s="74">
        <f>Assumptions!$C$29</f>
        <v/>
      </c>
      <c r="E23" s="74">
        <f>Assumptions!$C$30</f>
        <v/>
      </c>
      <c r="F23" s="77" t="n"/>
      <c r="G23" s="118" t="inlineStr">
        <is>
          <t>Today solved to the post-money floor; out-years from Assumptions.</t>
        </is>
      </c>
    </row>
    <row r="24" ht="13" customFormat="1" customHeight="1" s="35">
      <c r="B24" s="58" t="inlineStr">
        <is>
          <t>Valuation milestone — pitch ($)</t>
        </is>
      </c>
      <c r="C24" s="70">
        <f>Assumptions!$C$7</f>
        <v/>
      </c>
      <c r="D24" s="70">
        <f>Assumptions!$C$31</f>
        <v/>
      </c>
      <c r="E24" s="70">
        <f>Assumptions!$C$32</f>
        <v/>
      </c>
      <c r="F24" s="77" t="n"/>
      <c r="G24" s="118" t="inlineStr">
        <is>
          <t>Headline figures from the pitch: R53.3m / R147m / R807m.</t>
        </is>
      </c>
    </row>
    <row r="25" ht="13" customFormat="1" customHeight="1" s="35">
      <c r="B25" s="58" t="inlineStr">
        <is>
          <t>Valuation — model-implied ($)</t>
        </is>
      </c>
      <c r="C25" s="70">
        <f>C13*C23</f>
        <v/>
      </c>
      <c r="D25" s="70">
        <f>D13*D23</f>
        <v/>
      </c>
      <c r="E25" s="70">
        <f>E13*E23</f>
        <v/>
      </c>
      <c r="F25" s="77" t="n"/>
      <c r="G25" s="118" t="inlineStr">
        <is>
          <t>Sanity check: does the ramp x multiple reach the milestone?</t>
        </is>
      </c>
    </row>
    <row r="26" ht="14" customFormat="1" customHeight="1" s="47">
      <c r="B26" s="77" t="n"/>
      <c r="C26" s="102" t="n"/>
      <c r="D26" s="102" t="n"/>
      <c r="E26" s="102" t="n"/>
      <c r="F26" s="77" t="n"/>
      <c r="G26" s="77" t="n"/>
    </row>
    <row r="27">
      <c r="B27" s="98" t="inlineStr">
        <is>
          <t>Memo — model valuation in ZAR</t>
        </is>
      </c>
      <c r="C27" s="103">
        <f>C25*Assumptions!$C$10</f>
        <v/>
      </c>
      <c r="D27" s="103">
        <f>D25*Assumptions!$C$10</f>
        <v/>
      </c>
      <c r="E27" s="103">
        <f>E25*Assumptions!$C$10</f>
        <v/>
      </c>
      <c r="F27" s="86" t="n"/>
      <c r="G27" s="97" t="n"/>
    </row>
    <row r="28">
      <c r="B28" s="58" t="inlineStr">
        <is>
          <t>Memo — pitch milestone in ZAR</t>
        </is>
      </c>
      <c r="C28" s="113">
        <f>C24*Assumptions!$C$10</f>
        <v/>
      </c>
      <c r="D28" s="72">
        <f>D24*Assumptions!$C$10</f>
        <v/>
      </c>
      <c r="E28" s="72">
        <f>E24*Assumptions!$C$10</f>
        <v/>
      </c>
      <c r="F28" s="77" t="n"/>
      <c r="G28" s="77" t="n"/>
    </row>
    <row r="29">
      <c r="B29" s="98" t="inlineStr">
        <is>
          <t>Memo — revenue by stream in ZAR</t>
        </is>
      </c>
      <c r="C29" s="103">
        <f>C13*Assumptions!$C$10</f>
        <v/>
      </c>
      <c r="D29" s="103">
        <f>D13*Assumptions!$C$10</f>
        <v/>
      </c>
      <c r="E29" s="103">
        <f>E13*Assumptions!$C$10</f>
        <v/>
      </c>
      <c r="F29" s="86" t="n"/>
      <c r="G29" s="118" t="inlineStr">
        <is>
          <t>Total revenue in rand. Stream split is rows 9-12 above.</t>
        </is>
      </c>
    </row>
    <row r="30">
      <c r="B30" s="77" t="n"/>
      <c r="C30" s="104" t="n"/>
      <c r="D30" s="77" t="n"/>
      <c r="E30" s="77" t="n"/>
      <c r="F30" s="77" t="n"/>
      <c r="G30" s="77" t="n"/>
    </row>
    <row r="31">
      <c r="B31" s="57" t="inlineStr">
        <is>
          <t>WHY A FLAT 2.5x REVENUE MULTIPLE</t>
        </is>
      </c>
      <c r="C31" s="57" t="inlineStr"/>
      <c r="D31" s="57" t="inlineStr"/>
      <c r="E31" s="57" t="inlineStr"/>
      <c r="F31" s="57" t="inlineStr"/>
      <c r="G31" s="57" t="inlineStr"/>
    </row>
    <row r="32">
      <c r="B32" s="58" t="inlineStr">
        <is>
          <t>Engaged subscriber database</t>
        </is>
      </c>
      <c r="C32" s="117" t="inlineStr">
        <is>
          <t>Recurring golfers opted into a high-intent niche product are the core asset — a clean, targetable distribution channel for golf brands, media partners and sponsors. The valuation reflects the database itself, not just the topline.</t>
        </is>
      </c>
      <c r="D32" s="77" t="n"/>
      <c r="E32" s="77" t="n"/>
      <c r="F32" s="77" t="n"/>
      <c r="G32" s="77" t="n"/>
    </row>
    <row r="33">
      <c r="B33" s="58" t="inlineStr">
        <is>
          <t>Four rungs plus an upsell menu</t>
        </is>
      </c>
      <c r="C33" s="117" t="inlineStr">
        <is>
          <t>Installed courses, membership, the global app subscription and simulators sell the same insured challenge through four channels, with sponsorship attached to each territory. Diversified revenue on one cost base.</t>
        </is>
      </c>
      <c r="D33" s="77" t="n"/>
      <c r="E33" s="77" t="n"/>
      <c r="F33" s="77" t="n"/>
      <c r="G33" s="77" t="n"/>
    </row>
    <row r="34">
      <c r="B34" s="58" t="inlineStr">
        <is>
          <t>Strategic partner optionality</t>
        </is>
      </c>
      <c r="C34" s="117" t="inlineStr">
        <is>
          <t>At scale the platform unlocks multiple exit paths: license access to a golf brand, co-brand prize pools with a tour or media rights holder, integrate with a sportsbook, or sell outright to a sports-tech acquirer.</t>
        </is>
      </c>
      <c r="D34" s="77" t="n"/>
      <c r="E34" s="77" t="n"/>
      <c r="F34" s="77" t="n"/>
      <c r="G34" s="77" t="n"/>
    </row>
    <row r="35">
      <c r="B35" s="58" t="inlineStr">
        <is>
          <t>Comparable engaged communities</t>
        </is>
      </c>
      <c r="C35" s="117" t="inlineStr">
        <is>
          <t>Engaged-community subscription businesses (Strava, Peloton, Whoop) trade at 5-10x revenue. This plan applies roughly half the bottom of that band, discounted for being private, pre-scale and mid-execution. Market-anchored, deliberately on the conservative side of it.</t>
        </is>
      </c>
      <c r="D35" s="77" t="n"/>
      <c r="E35" s="77" t="n"/>
      <c r="F35" s="77" t="n"/>
      <c r="G35" s="77" t="n"/>
    </row>
    <row r="36">
      <c r="B36" s="58" t="inlineStr">
        <is>
          <t>Why flat, not expanding</t>
        </is>
      </c>
      <c r="C36" s="117" t="inlineStr">
        <is>
          <t>The same multiple is applied at every forward milestone, so the milestones move only with revenue. The entry multiple is higher (R53.3m post / R11.2m revenue = 4.8x), so the multiple COMPRESSES as the company scales — the direction an investor expects. No multiple expansion is assumed anywhere.</t>
        </is>
      </c>
      <c r="D36" s="77" t="n"/>
      <c r="E36" s="77" t="n"/>
      <c r="F36" s="77" t="n"/>
      <c r="G36" s="77" t="n"/>
    </row>
    <row r="37">
      <c r="B37" s="58" t="inlineStr">
        <is>
          <t>Risk to the simulator stream</t>
        </is>
      </c>
      <c r="C37" s="117" t="inlineStr">
        <is>
          <t>Simulator revenue depends on concluding operator agreements, which are not yet signed as at August 2026. Ernie Els holds direct relationships with the target operators, and the integration this round funds is what makes Get Lucky ready to sign. The adoption range on the Simulator tab shows how the 2029 milestone moves with take-up.</t>
        </is>
      </c>
      <c r="D37" s="77" t="n"/>
      <c r="E37" s="77" t="n"/>
      <c r="F37" s="77" t="n"/>
      <c r="G37" s="77" t="n"/>
    </row>
    <row r="38">
      <c r="B38" s="58" t="inlineStr">
        <is>
          <t>Risk to territory sponsorship</t>
        </is>
      </c>
      <c r="C38" s="117" t="inlineStr">
        <is>
          <t>South African sponsorship is contracted. New-territory anchor partners are appointed as each market opens and are not yet in place. Per-territory figures are live inputs on the Sponsorship tab.</t>
        </is>
      </c>
      <c r="D38" s="77" t="n"/>
      <c r="E38" s="77" t="n"/>
      <c r="F38" s="77" t="n"/>
      <c r="G38" s="77" t="n"/>
    </row>
    <row r="39">
      <c r="B39" s="58" t="inlineStr">
        <is>
          <t>Risk to upsell attach</t>
        </is>
      </c>
      <c r="C39" s="117" t="inlineStr">
        <is>
          <t>Attach rates are modelled, not observed — the menu ships in 2027. They are set against the price point of the underlying entry (12% at $5 on course and app, 5% at $2 in simulators) and are live inputs on the Upsells tab.</t>
        </is>
      </c>
      <c r="D39" s="77" t="n"/>
      <c r="E39" s="77" t="n"/>
      <c r="F39" s="77" t="n"/>
      <c r="G39" s="77" t="n"/>
    </row>
    <row r="40">
      <c r="B40" s="77" t="n"/>
      <c r="C40" s="77" t="n"/>
      <c r="D40" s="77" t="n"/>
      <c r="E40" s="77" t="n"/>
      <c r="F40" s="77" t="n"/>
      <c r="G40" s="77" t="n"/>
    </row>
    <row r="41">
      <c r="B41" s="77" t="n"/>
      <c r="C41" s="77" t="n"/>
      <c r="D41" s="77" t="n"/>
      <c r="E41" s="77" t="n"/>
      <c r="F41" s="77" t="n"/>
      <c r="G41" s="77" t="n"/>
    </row>
  </sheetData>
  <mergeCells count="2">
    <mergeCell ref="B3:G3"/>
    <mergeCell ref="B2:E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B2:F13"/>
  <sheetViews>
    <sheetView showGridLines="0" zoomScaleNormal="100" workbookViewId="0">
      <selection activeCell="E6" sqref="E6"/>
    </sheetView>
  </sheetViews>
  <sheetFormatPr baseColWidth="10" defaultColWidth="8.6640625" defaultRowHeight="15"/>
  <cols>
    <col width="2" customWidth="1" min="1" max="1"/>
    <col width="42" customWidth="1" min="2" max="2"/>
    <col width="20" customWidth="1" min="3" max="5"/>
    <col width="36" customWidth="1" min="6" max="6"/>
  </cols>
  <sheetData>
    <row r="2" ht="30" customHeight="1">
      <c r="B2" s="48" t="inlineStr">
        <is>
          <t xml:space="preserve">ERNIE'S 5% </t>
        </is>
      </c>
    </row>
    <row r="3">
      <c r="B3" s="49" t="inlineStr">
        <is>
          <t>No cash in. Name &amp; story for 5%. Here's what that 5% rides to.</t>
        </is>
      </c>
    </row>
    <row r="5" ht="19.5" customHeight="1">
      <c r="B5" s="17" t="n"/>
      <c r="C5" s="18" t="inlineStr">
        <is>
          <t>Today</t>
        </is>
      </c>
      <c r="D5" s="18" t="inlineStr">
        <is>
          <t>2029 (3-yr plan)</t>
        </is>
      </c>
      <c r="E5" s="18" t="inlineStr">
        <is>
          <t>2032 (Exit vision)</t>
        </is>
      </c>
    </row>
    <row r="6">
      <c r="B6" s="4" t="inlineStr">
        <is>
          <t>Company valuation ($)</t>
        </is>
      </c>
      <c r="C6" s="44">
        <f>Valuation!C24</f>
        <v/>
      </c>
      <c r="D6" s="44">
        <f>Valuation!D24</f>
        <v/>
      </c>
      <c r="E6" s="44">
        <f>Valuation!E24</f>
        <v/>
      </c>
      <c r="F6" s="20" t="inlineStr">
        <is>
          <t>From Valuation tab (pitch milestones)</t>
        </is>
      </c>
    </row>
    <row r="7">
      <c r="B7" s="4" t="inlineStr">
        <is>
          <t>Ernie's stake %</t>
        </is>
      </c>
      <c r="C7" s="32">
        <f>Assumptions!$C$6</f>
        <v/>
      </c>
      <c r="D7" s="32">
        <f>Assumptions!$C$6</f>
        <v/>
      </c>
      <c r="E7" s="32">
        <f>Assumptions!$C$6</f>
        <v/>
      </c>
      <c r="F7" s="20" t="inlineStr">
        <is>
          <t>Non Dilutive</t>
        </is>
      </c>
    </row>
    <row r="8">
      <c r="B8" s="13" t="inlineStr">
        <is>
          <t>Ernie's equity value ($)</t>
        </is>
      </c>
      <c r="C8" s="45">
        <f>C6*C7</f>
        <v/>
      </c>
      <c r="D8" s="45">
        <f>D6*D7</f>
        <v/>
      </c>
      <c r="E8" s="45">
        <f>E6*E7</f>
        <v/>
      </c>
      <c r="F8" s="20" t="inlineStr">
        <is>
          <t>What the 5% is worth at each milestone</t>
        </is>
      </c>
    </row>
    <row r="10">
      <c r="B10" s="4" t="inlineStr">
        <is>
          <t>Value created for Ernie vs today ($)</t>
        </is>
      </c>
      <c r="C10" s="41">
        <f>C8-C8</f>
        <v/>
      </c>
      <c r="D10" s="41">
        <f>D8-C8</f>
        <v/>
      </c>
      <c r="E10" s="41">
        <f>E8-C8</f>
        <v/>
      </c>
      <c r="F10" s="20" t="inlineStr">
        <is>
          <t>Upside on a zero-cash, zero-time stake</t>
        </is>
      </c>
    </row>
    <row r="11" ht="24" customHeight="1">
      <c r="B11" s="13" t="inlineStr">
        <is>
          <t>Multiple on entry value</t>
        </is>
      </c>
      <c r="C11" s="21">
        <f>C8/C8</f>
        <v/>
      </c>
      <c r="D11" s="21">
        <f>D8/C8</f>
        <v/>
      </c>
      <c r="E11" s="21">
        <f>E8/C8</f>
        <v/>
      </c>
      <c r="F11" s="20" t="inlineStr">
        <is>
          <t>Multiple on entry. CAGR: ~34% to 2029 (3 yrs)</t>
        </is>
      </c>
    </row>
    <row r="12">
      <c r="B12" s="25" t="inlineStr">
        <is>
          <t>Memo — Ernie's stake in ZAR</t>
        </is>
      </c>
      <c r="C12" s="88">
        <f>C8*Assumptions!$C$10</f>
        <v/>
      </c>
      <c r="D12" s="88">
        <f>D8*Assumptions!$C$10</f>
        <v/>
      </c>
      <c r="E12" s="88">
        <f>E8*Assumptions!$C$10</f>
        <v/>
      </c>
    </row>
    <row r="13" ht="45.75" customHeight="1">
      <c r="B13" s="53" t="inlineStr">
        <is>
          <t>Figures reflect the company's stated valuation milestones for the R8m / 15% round and the 3-year plan. They illustrate the trajectory a 5% holding moves with — not a guarantee of return. The 2029 and 2032 milestones include the simulator channel, which is modelled but NOT CONTRACTED; the Simulator tab shows the outcome at a 0% attach rate.</t>
        </is>
      </c>
    </row>
  </sheetData>
  <mergeCells count="3">
    <mergeCell ref="B13:F13"/>
    <mergeCell ref="B2:E2"/>
    <mergeCell ref="B3:F3"/>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2026-06-25T13:44:26Z</dcterms:created>
  <dcterms:modified xsi:type="dcterms:W3CDTF">2026-08-04T15:16:35Z</dcterms:modified>
  <cp:lastModifiedBy>Johannes Le Roux</cp:lastModifiedBy>
  <cp:revision>0</cp:revision>
</cp:coreProperties>
</file>