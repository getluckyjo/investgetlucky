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5">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
      <name val="Arial"/>
      <b val="1"/>
      <color rgb="FF666666"/>
      <sz val="9"/>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4">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xf numFmtId="0" fontId="34" fillId="0" borderId="0" pivotButton="0" quotePrefix="0" xfId="0"/>
    <xf numFmtId="0" fontId="26"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R147m in 2029 -&gt; R807m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R147m / R807m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subscribers at month 0</t>
        </is>
      </c>
      <c r="C13" s="8" t="n">
        <v>2000</v>
      </c>
      <c r="D13" s="51" t="inlineStr">
        <is>
          <t>Current subscribers</t>
        </is>
      </c>
    </row>
    <row r="14" ht="15" customHeight="1">
      <c r="B14" s="4" t="inlineStr">
        <is>
          <t>Monthly subscriber growth — Year 1</t>
        </is>
      </c>
      <c r="C14" s="9" t="n">
        <v>0.105</v>
      </c>
      <c r="D14" s="51" t="inlineStr">
        <is>
          <t>The Ernie affect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450000/Assumptions!$C$10</f>
        <v/>
      </c>
      <c r="D25" s="52" t="inlineStr">
        <is>
          <t>Funded monthly opex base (R450k/mo) — team, platform and market-entry budget</t>
        </is>
      </c>
    </row>
    <row r="26">
      <c r="B26" s="4" t="inlineStr">
        <is>
          <t>Ops scaling vs subscribers (0=flat, 1=linear)</t>
        </is>
      </c>
      <c r="C26" s="27" t="n">
        <v>0.68</v>
      </c>
      <c r="D26" s="23" t="inlineStr">
        <is>
          <t>0.68 — costs scale with the base as four streams and four territories come online</t>
        </is>
      </c>
    </row>
    <row r="27" ht="19.5" customHeight="1">
      <c r="B27" s="50" t="inlineStr">
        <is>
          <t xml:space="preserve">VALUATION </t>
        </is>
      </c>
    </row>
    <row r="28" ht="15" customHeight="1">
      <c r="B28" s="4" t="inlineStr">
        <is>
          <t>Valuation multiple — ARR (today)</t>
        </is>
      </c>
      <c r="C28" s="11" t="n">
        <v>0</v>
      </c>
      <c r="D28" s="51" t="inlineStr">
        <is>
          <t>Solved below to hit $2.16m floor</t>
        </is>
      </c>
    </row>
    <row r="29" ht="15" customHeight="1">
      <c r="B29" s="4" t="inlineStr">
        <is>
          <t>Valuation multiple — ARR (2028 target)</t>
        </is>
      </c>
      <c r="C29" s="12" t="n">
        <v>3</v>
      </c>
      <c r="D29" s="51" t="inlineStr">
        <is>
          <t>Flat revenue multiple — same at every forward milestone</t>
        </is>
      </c>
    </row>
    <row r="30" ht="15" customHeight="1">
      <c r="B30" s="4" t="inlineStr">
        <is>
          <t>Valuation multiple — ARR (2032 exit)</t>
        </is>
      </c>
      <c r="C30" s="12" t="n">
        <v>3</v>
      </c>
      <c r="D30" s="51" t="inlineStr">
        <is>
          <t>Flat revenue multiple — no expansion assumed at exit</t>
        </is>
      </c>
    </row>
    <row r="31" ht="15" customHeight="1">
      <c r="B31" s="4" t="inlineStr">
        <is>
          <t>Pitch valuation 2028 ($)</t>
        </is>
      </c>
      <c r="C31" s="36">
        <f>157656339/Assumptions!$C$10</f>
        <v/>
      </c>
      <c r="D31" s="52" t="inlineStr">
        <is>
          <t>Pitch milestone — 3-yr plan (R157.7m at 3.0x revenue)</t>
        </is>
      </c>
    </row>
    <row r="32" ht="15" customHeight="1">
      <c r="B32" s="4" t="inlineStr">
        <is>
          <t>Pitch valuation 2032 ($)</t>
        </is>
      </c>
      <c r="C32" s="36">
        <f>396383967/Assumptions!$C$10</f>
        <v/>
      </c>
      <c r="D32" s="52" t="inlineStr">
        <is>
          <t>2032 milestone (R396m at 3.0x revenue)</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To land 2032 model on $27m exit vision</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0.42</v>
      </c>
      <c r="E17" s="118" t="inlineStr">
        <is>
          <t>Software-only channel, but funded to land: integration engineering, operator marketing support and platform operations are carried here.</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0.52</v>
      </c>
      <c r="E22" s="118" t="inlineStr">
        <is>
          <t>After local activation, partner servicing and market-entry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122" t="inlineStr">
        <is>
          <t>Parked — not in the plan</t>
        </is>
      </c>
      <c r="C11" s="77" t="n"/>
      <c r="D11" s="77" t="n"/>
      <c r="E11" s="123" t="inlineStr">
        <is>
          <t>Nearest the pin (no way to verify proximity with the current rig) and The highlight reel (no production pipeline yet). Neither is modelled. Both return if and when they can be delivered.</t>
        </is>
      </c>
    </row>
    <row r="12">
      <c r="B12" s="77" t="n"/>
      <c r="C12" s="77" t="n"/>
      <c r="D12" s="77" t="n"/>
      <c r="E12" s="104" t="n"/>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0.09</v>
      </c>
      <c r="I16" s="118" t="inlineStr">
        <is>
          <t>Share of subscriber rounds that buy at least one upsell. Cut from 12% when nearest-the-pin and the highlight reel were parked — a shorter menu without the two broadest-appeal items converts fewer buyers.</t>
        </is>
      </c>
    </row>
    <row r="17">
      <c r="B17" s="58" t="inlineStr">
        <is>
          <t>Course &amp; app — average spend ($)</t>
        </is>
      </c>
      <c r="C17" s="107" t="n">
        <v>5</v>
      </c>
      <c r="I17" s="118" t="inlineStr">
        <is>
          <t>Blend across the menu on an attaching entry.</t>
        </is>
      </c>
    </row>
    <row r="18">
      <c r="B18" s="58" t="inlineStr">
        <is>
          <t>Simulator — attach rate</t>
        </is>
      </c>
      <c r="C18" s="62" t="n">
        <v>0.04</v>
      </c>
      <c r="I18" s="118" t="inlineStr">
        <is>
          <t>Cut from 5% for the same reason.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v>
      </c>
      <c r="I21" s="118" t="inlineStr">
        <is>
          <t>After product build, merchandising and payment costs.</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Assumptions!$C$34*E6/$C$6</f>
        <v/>
      </c>
      <c r="F8" s="77" t="n"/>
      <c r="G8" s="118" t="inlineStr">
        <is>
          <t>The contracted Santam deal, off the monthly build</t>
        </is>
      </c>
    </row>
    <row r="9">
      <c r="B9" s="66" t="inlineStr">
        <is>
          <t>Courses &amp; app subscription ($)</t>
        </is>
      </c>
      <c r="C9" s="80">
        <f>C7+C8</f>
        <v/>
      </c>
      <c r="D9" s="80">
        <f>D7+D8</f>
        <v/>
      </c>
      <c r="E9" s="80">
        <f>E7+E8</f>
        <v/>
      </c>
      <c r="F9" s="77" t="n"/>
      <c r="G9" s="118" t="inlineStr">
        <is>
          <t>Installed courses, membership and the global app subscription, plus contracted South African sponsorship</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C14-Assumptions!$C$25*12*(C6/$C$6)^Assumptions!$C$26-C9*Assumptions!$C$23</f>
        <v/>
      </c>
      <c r="D15" s="79">
        <f>D14-Assumptions!$C$25*12*(D6/$C$6)^Assumptions!$C$26-D9*Assumptions!$C$23</f>
        <v/>
      </c>
      <c r="E15" s="79">
        <f>E14-Assumptions!$C$25*12*(E6/$C$6)^Assumptions!$C$26-E9*Assumptions!$C$23</f>
        <v/>
      </c>
      <c r="F15" s="77" t="n"/>
      <c r="G15" s="118" t="inlineStr">
        <is>
          <t>GP less scaled opex less insurance premium. Prize payouts excluded —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R147m / R807m.</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A FLAT 3.0x REVENUE MULTIPLE</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Engaged-community subscription businesses (Strava, Peloton, Whoop) trade at 5-10x revenue. 3.0x sits 40% below the bottom of that band — a discount for being private and pre-scale.</t>
        </is>
      </c>
      <c r="D35" s="77" t="n"/>
      <c r="E35" s="77" t="n"/>
      <c r="F35" s="77" t="n"/>
      <c r="G35" s="77" t="n"/>
    </row>
    <row r="36">
      <c r="B36" s="58" t="inlineStr">
        <is>
          <t>Why flat, not expanding</t>
        </is>
      </c>
      <c r="C36" s="117" t="inlineStr">
        <is>
          <t>The same 3.0x is applied at every forward milestone, so the milestones move only with revenue. The entry multiple is higher (R53.3m post / R11.2m revenue = 4.8x), so the multiple COMPRESSES as the company scales. No multiple expansion is assumed anywhere.</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(12% at $5 on course and app, 5% at $2 in simulators) and are live inputs on the Upsells tab.</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Multiple on entry. CAGR: ~34% to 2029 (3 yrs)</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2026-08-05T09:34:45Z</dcterms:modified>
  <cp:lastModifiedBy>Johannes Le Roux</cp:lastModifiedBy>
  <cp:revision>0</cp:revision>
</cp:coreProperties>
</file>